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NOMINA" sheetId="2" state="visible" r:id="rId2"/>
    <sheet name="CAPACIDAD" sheetId="3" state="visible" r:id="rId3"/>
    <sheet name="COSTO_POR_MINUTO" sheetId="4" state="visible" r:id="rId4"/>
    <sheet name="SERVICIOS" sheetId="5" state="visible" r:id="rId5"/>
    <sheet name="ECUACIONES_TIEMPO" sheetId="6" state="visible" r:id="rId6"/>
    <sheet name="INSUMOS" sheetId="7" state="visible" r:id="rId7"/>
    <sheet name="PRODUCCION" sheetId="8" state="visible" r:id="rId8"/>
    <sheet name="COSTEO_SERVICIOS" sheetId="9" state="visible" r:id="rId9"/>
    <sheet name="COSTOS_INDIRECTOS" sheetId="10" state="visible" r:id="rId10"/>
    <sheet name="RESUMEN_EJECUTIV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#,##0.0"/>
    <numFmt numFmtId="167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name val="Calibri"/>
      <b val="1"/>
      <sz val="12"/>
    </font>
    <font>
      <name val="Arial Narrow"/>
      <b val="1"/>
      <color rgb="00FFFFFF"/>
      <sz val="11"/>
    </font>
    <font>
      <name val="Calibri"/>
      <i val="1"/>
      <color rgb="002C3E50"/>
      <sz val="9"/>
    </font>
    <font>
      <name val="Calibri"/>
      <b val="1"/>
      <color rgb="00003366"/>
      <sz val="14"/>
    </font>
    <font>
      <b val="1"/>
    </font>
    <font>
      <name val="Calibri"/>
      <i val="1"/>
      <color rgb="00D35400"/>
      <sz val="9"/>
    </font>
    <font>
      <name val="Calibri"/>
      <i val="1"/>
      <sz val="10"/>
    </font>
    <font>
      <name val="Arial Narrow"/>
      <b val="1"/>
      <color rgb="00003366"/>
      <sz val="14"/>
    </font>
    <font>
      <name val="Arial Narrow"/>
      <i val="1"/>
      <sz val="10"/>
    </font>
    <font>
      <name val="Arial Narrow"/>
      <b val="1"/>
      <color rgb="00003366"/>
      <sz val="18"/>
    </font>
    <font>
      <name val="Arial Narrow"/>
      <i val="1"/>
      <sz val="11"/>
    </font>
    <font>
      <name val="Arial Narrow"/>
      <b val="1"/>
      <sz val="10"/>
    </font>
    <font>
      <name val="Arial Narrow"/>
      <b val="1"/>
      <color rgb="00FF0000"/>
    </font>
    <font>
      <name val="Arial Narrow"/>
      <i val="1"/>
      <color rgb="00CC0000"/>
      <sz val="9"/>
    </font>
    <font>
      <name val="Arial Narrow"/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4" borderId="0" pivotButton="0" quotePrefix="0" xfId="0"/>
    <xf numFmtId="164" fontId="0" fillId="5" borderId="0" pivotButton="0" quotePrefix="0" xfId="0"/>
    <xf numFmtId="0" fontId="6" fillId="2" borderId="0" pivotButton="0" quotePrefix="0" xfId="0"/>
    <xf numFmtId="164" fontId="6" fillId="2" borderId="0" pivotButton="0" quotePrefix="0" xfId="0"/>
    <xf numFmtId="0" fontId="7" fillId="0" borderId="0" applyAlignment="1" pivotButton="0" quotePrefix="0" xfId="0">
      <alignment wrapText="1"/>
    </xf>
    <xf numFmtId="9" fontId="0" fillId="3" borderId="0" pivotButton="0" quotePrefix="0" xfId="0"/>
    <xf numFmtId="3" fontId="0" fillId="5" borderId="0" pivotButton="0" quotePrefix="0" xfId="0"/>
    <xf numFmtId="3" fontId="6" fillId="2" borderId="0" pivotButton="0" quotePrefix="0" xfId="0"/>
    <xf numFmtId="164" fontId="0" fillId="3" borderId="0" pivotButton="0" quotePrefix="0" xfId="0"/>
    <xf numFmtId="3" fontId="0" fillId="3" borderId="0" pivotButton="0" quotePrefix="0" xfId="0"/>
    <xf numFmtId="165" fontId="0" fillId="5" borderId="0" pivotButton="0" quotePrefix="0" xfId="0"/>
    <xf numFmtId="0" fontId="8" fillId="0" borderId="0" pivotButton="0" quotePrefix="0" xfId="0"/>
    <xf numFmtId="166" fontId="0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167" fontId="0" fillId="3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3" borderId="0" applyAlignment="1" pivotButton="0" quotePrefix="0" xfId="0">
      <alignment indent="2"/>
    </xf>
    <xf numFmtId="0" fontId="0" fillId="5" borderId="0" pivotButton="0" quotePrefix="0" xfId="0"/>
    <xf numFmtId="167" fontId="0" fillId="5" borderId="0" pivotButton="0" quotePrefix="0" xfId="0"/>
    <xf numFmtId="0" fontId="13" fillId="0" borderId="1" pivotButton="0" quotePrefix="0" xfId="0"/>
    <xf numFmtId="0" fontId="14" fillId="0" borderId="0" pivotButton="0" quotePrefix="0" xfId="0"/>
    <xf numFmtId="164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laProduccion" displayName="TablaProduccion" ref="A3:G303" headerRowCount="1">
  <autoFilter ref="A3:G303"/>
  <tableColumns count="7">
    <tableColumn id="1" name="Código"/>
    <tableColumn id="2" name="Servicio"/>
    <tableColumn id="3" name="Sede"/>
    <tableColumn id="4" name="Aseguradora"/>
    <tableColumn id="5" name="Cantidad"/>
    <tableColumn id="6" name="Valor Facturado Promedio"/>
    <tableColumn id="7" name="Total Factur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Costeo" displayName="TablaCosteo" ref="A4:K64" headerRowCount="1">
  <autoFilter ref="A4:K64"/>
  <tableColumns count="11">
    <tableColumn id="1" name="Código"/>
    <tableColumn id="2" name="Servicio"/>
    <tableColumn id="3" name="Sede"/>
    <tableColumn id="4" name="Costo MO Directa"/>
    <tableColumn id="5" name="Costo Insumos"/>
    <tableColumn id="6" name="Costo CIF (Indirecto)"/>
    <tableColumn id="7" name="Costo Unitario Total"/>
    <tableColumn id="8" name="Precio Venta Prom."/>
    <tableColumn id="9" name="Margen Unitario"/>
    <tableColumn id="10" name="Margen %"/>
    <tableColumn id="11" name="Volumen M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aIndirectos" displayName="TablaIndirectos" ref="A4:F37" headerRowCount="1">
  <autoFilter ref="A4:F37"/>
  <tableColumns count="6">
    <tableColumn id="1" name="Código Cuenta"/>
    <tableColumn id="2" name="Concepto"/>
    <tableColumn id="3" name="Sede"/>
    <tableColumn id="4" name="Valor Mensual"/>
    <tableColumn id="5" name="Criterio Distribución"/>
    <tableColumn id="6" name="Tipo Ga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15" customWidth="1" min="4" max="4"/>
  </cols>
  <sheetData>
    <row r="1">
      <c r="A1" s="1" t="inlineStr">
        <is>
          <t>CardioCentro Diagnóstico Integral S.A.S.</t>
        </is>
      </c>
    </row>
    <row r="2">
      <c r="A2" s="2" t="inlineStr">
        <is>
          <t>PARÁMETROS GENERALES DEL MODELO TDABC</t>
        </is>
      </c>
    </row>
    <row r="3">
      <c r="A3" t="inlineStr">
        <is>
          <t>Fecha de actualización: 17/02/2026</t>
        </is>
      </c>
    </row>
    <row r="5">
      <c r="A5" s="3" t="inlineStr">
        <is>
          <t>PARÁMETROS OPERACIONALES</t>
        </is>
      </c>
    </row>
    <row r="6">
      <c r="A6" s="4" t="inlineStr">
        <is>
          <t>Parámetro</t>
        </is>
      </c>
      <c r="B6" s="4" t="inlineStr">
        <is>
          <t>Valor</t>
        </is>
      </c>
      <c r="C6" s="4" t="inlineStr">
        <is>
          <t>Unidad</t>
        </is>
      </c>
    </row>
    <row r="7">
      <c r="A7" s="5" t="inlineStr">
        <is>
          <t>Horas mensuales por colaborador</t>
        </is>
      </c>
      <c r="B7" s="6" t="n">
        <v>184</v>
      </c>
      <c r="C7" s="5" t="inlineStr">
        <is>
          <t>horas</t>
        </is>
      </c>
    </row>
    <row r="8">
      <c r="A8" s="5" t="inlineStr">
        <is>
          <t>Días hábiles al mes</t>
        </is>
      </c>
      <c r="B8" s="6" t="n">
        <v>22</v>
      </c>
      <c r="C8" s="5" t="inlineStr">
        <is>
          <t>días</t>
        </is>
      </c>
    </row>
    <row r="9">
      <c r="A9" s="5" t="inlineStr">
        <is>
          <t>Porcentaje capacidad práctica</t>
        </is>
      </c>
      <c r="B9" s="6" t="n">
        <v>85</v>
      </c>
      <c r="C9" s="5" t="inlineStr">
        <is>
          <t>%</t>
        </is>
      </c>
    </row>
    <row r="10">
      <c r="A10" s="5" t="inlineStr">
        <is>
          <t>Factor prestacional sector salud</t>
        </is>
      </c>
      <c r="B10" s="6" t="n">
        <v>1.4077</v>
      </c>
      <c r="C10" s="5" t="inlineStr">
        <is>
          <t>factor</t>
        </is>
      </c>
    </row>
    <row r="11">
      <c r="A11" s="5" t="inlineStr">
        <is>
          <t>Prima de servicios</t>
        </is>
      </c>
      <c r="B11" s="6" t="n">
        <v>8.33</v>
      </c>
      <c r="C11" s="5" t="inlineStr">
        <is>
          <t>%</t>
        </is>
      </c>
    </row>
    <row r="12">
      <c r="A12" s="5" t="inlineStr">
        <is>
          <t>Cesantías</t>
        </is>
      </c>
      <c r="B12" s="6" t="n">
        <v>8.33</v>
      </c>
      <c r="C12" s="5" t="inlineStr">
        <is>
          <t>%</t>
        </is>
      </c>
    </row>
    <row r="13">
      <c r="A13" s="5" t="inlineStr">
        <is>
          <t>Intereses cesantías</t>
        </is>
      </c>
      <c r="B13" s="6" t="n">
        <v>1</v>
      </c>
      <c r="C13" s="5" t="inlineStr">
        <is>
          <t>%</t>
        </is>
      </c>
    </row>
    <row r="14">
      <c r="A14" s="5" t="inlineStr">
        <is>
          <t>Vacaciones</t>
        </is>
      </c>
      <c r="B14" s="6" t="n">
        <v>4.17</v>
      </c>
      <c r="C14" s="5" t="inlineStr">
        <is>
          <t>%</t>
        </is>
      </c>
    </row>
    <row r="15">
      <c r="A15" s="5" t="inlineStr">
        <is>
          <t>ARL (Riesgo III - CATEROGI)</t>
        </is>
      </c>
      <c r="B15" s="6" t="n">
        <v>2.436</v>
      </c>
      <c r="C15" s="5" t="inlineStr">
        <is>
          <t>%</t>
        </is>
      </c>
    </row>
    <row r="16">
      <c r="A16" s="5" t="inlineStr">
        <is>
          <t>Salud EPS (empleador)</t>
        </is>
      </c>
      <c r="B16" s="6" t="n">
        <v>0</v>
      </c>
      <c r="C16" s="5" t="inlineStr">
        <is>
          <t>%</t>
        </is>
      </c>
    </row>
    <row r="17">
      <c r="A17" s="5" t="inlineStr">
        <is>
          <t>Pensión (empleador)</t>
        </is>
      </c>
      <c r="B17" s="6" t="n">
        <v>12.5</v>
      </c>
      <c r="C17" s="5" t="inlineStr">
        <is>
          <t>%</t>
        </is>
      </c>
    </row>
    <row r="18">
      <c r="A18" s="5" t="inlineStr">
        <is>
          <t>Caja compensación</t>
        </is>
      </c>
      <c r="B18" s="6" t="n">
        <v>4</v>
      </c>
      <c r="C18" s="5" t="inlineStr">
        <is>
          <t>%</t>
        </is>
      </c>
    </row>
    <row r="19">
      <c r="A19" s="5" t="inlineStr">
        <is>
          <t>ICBF (exonerado sector salud)</t>
        </is>
      </c>
      <c r="B19" s="6" t="n">
        <v>0</v>
      </c>
      <c r="C19" s="5" t="inlineStr">
        <is>
          <t>%</t>
        </is>
      </c>
    </row>
    <row r="20">
      <c r="A20" s="5" t="inlineStr">
        <is>
          <t>SENA (exonerado sector salud)</t>
        </is>
      </c>
      <c r="B20" s="6" t="n">
        <v>0</v>
      </c>
      <c r="C20" s="5" t="inlineStr">
        <is>
          <t>%</t>
        </is>
      </c>
    </row>
    <row r="21">
      <c r="A21" s="5" t="inlineStr">
        <is>
          <t>TOTAL PRESTACIONES LEGALES</t>
        </is>
      </c>
      <c r="B21" s="6" t="n">
        <v>40.77</v>
      </c>
      <c r="C21" s="5" t="inlineStr">
        <is>
          <t>%</t>
        </is>
      </c>
    </row>
    <row r="22">
      <c r="A22" s="5" t="inlineStr">
        <is>
          <t>Inflación anual proyectada</t>
        </is>
      </c>
      <c r="B22" s="6" t="n">
        <v>5.5</v>
      </c>
      <c r="C22" s="5" t="inlineStr">
        <is>
          <t>%</t>
        </is>
      </c>
    </row>
    <row r="23">
      <c r="A23" s="5" t="inlineStr">
        <is>
          <t>Tasa cambio USD (referencial)</t>
        </is>
      </c>
      <c r="B23" s="6" t="n">
        <v>4100</v>
      </c>
      <c r="C23" s="5" t="inlineStr">
        <is>
          <t>COP</t>
        </is>
      </c>
    </row>
    <row r="25">
      <c r="A25" s="7" t="inlineStr">
        <is>
          <t>NOTA: Empresas del sector salud en Colombia</t>
        </is>
      </c>
    </row>
    <row r="26">
      <c r="A26" s="8" t="inlineStr">
        <is>
          <t>Las empresas del sector salud están EXONERADAS del pago de parafiscales (ICBF 3% + SENA 2%).</t>
        </is>
      </c>
    </row>
    <row r="27">
      <c r="A27" s="8" t="inlineStr">
        <is>
          <t>Sin embargo, SÍ pagan EPS (8.5%), Pensión (12%), Caja Compensación (4%) y ARL según riesgo.</t>
        </is>
      </c>
    </row>
    <row r="30">
      <c r="A30" s="3" t="inlineStr">
        <is>
          <t>DISTRIBUCIÓN DE COSTOS INDIRECTOS</t>
        </is>
      </c>
    </row>
    <row r="31">
      <c r="A31" s="4" t="inlineStr">
        <is>
          <t>Concepto</t>
        </is>
      </c>
      <c r="B31" s="4" t="inlineStr">
        <is>
          <t>Criterio</t>
        </is>
      </c>
    </row>
    <row r="32">
      <c r="A32" s="5" t="inlineStr">
        <is>
          <t>Servicios generales</t>
        </is>
      </c>
      <c r="B32" s="5" t="inlineStr">
        <is>
          <t>Por minutos consumidos</t>
        </is>
      </c>
    </row>
    <row r="33">
      <c r="A33" s="5" t="inlineStr">
        <is>
          <t>Administración</t>
        </is>
      </c>
      <c r="B33" s="5" t="inlineStr">
        <is>
          <t>Por volumen de producción</t>
        </is>
      </c>
    </row>
    <row r="34">
      <c r="A34" s="5" t="inlineStr">
        <is>
          <t>Infraestructura</t>
        </is>
      </c>
      <c r="B34" s="5" t="inlineStr">
        <is>
          <t>Por área utilizada (m²)</t>
        </is>
      </c>
    </row>
    <row r="37">
      <c r="A37" s="3" t="inlineStr">
        <is>
          <t>SEDES OPERATIVAS</t>
        </is>
      </c>
    </row>
    <row r="38">
      <c r="A38" s="4" t="inlineStr">
        <is>
          <t>Código</t>
        </is>
      </c>
      <c r="B38" s="4" t="inlineStr">
        <is>
          <t>Nombre Sede</t>
        </is>
      </c>
      <c r="C38" s="4" t="inlineStr">
        <is>
          <t>Ciudad</t>
        </is>
      </c>
      <c r="D38" s="4" t="inlineStr">
        <is>
          <t>Área (m²)</t>
        </is>
      </c>
    </row>
    <row r="39">
      <c r="A39" s="5" t="inlineStr">
        <is>
          <t>S01</t>
        </is>
      </c>
      <c r="B39" s="5" t="inlineStr">
        <is>
          <t>Sede Norte - Bogotá</t>
        </is>
      </c>
      <c r="C39" s="5" t="inlineStr">
        <is>
          <t>Bogotá</t>
        </is>
      </c>
      <c r="D39" s="6" t="n">
        <v>450</v>
      </c>
    </row>
    <row r="40">
      <c r="A40" s="5" t="inlineStr">
        <is>
          <t>S02</t>
        </is>
      </c>
      <c r="B40" s="5" t="inlineStr">
        <is>
          <t>Sede Sur - Medellín</t>
        </is>
      </c>
      <c r="C40" s="5" t="inlineStr">
        <is>
          <t>Medellín</t>
        </is>
      </c>
      <c r="D40" s="6" t="n">
        <v>380</v>
      </c>
    </row>
    <row r="41">
      <c r="A41" s="5" t="inlineStr">
        <is>
          <t>S03</t>
        </is>
      </c>
      <c r="B41" s="5" t="inlineStr">
        <is>
          <t>Sede Centro - Cali</t>
        </is>
      </c>
      <c r="C41" s="5" t="inlineStr">
        <is>
          <t>Cali</t>
        </is>
      </c>
      <c r="D41" s="6" t="n">
        <v>420</v>
      </c>
    </row>
  </sheetData>
  <mergeCells count="9">
    <mergeCell ref="A1:D1"/>
    <mergeCell ref="A25:C25"/>
    <mergeCell ref="A30:B30"/>
    <mergeCell ref="A37:D37"/>
    <mergeCell ref="A3:D3"/>
    <mergeCell ref="A5:B5"/>
    <mergeCell ref="A27:C27"/>
    <mergeCell ref="A2:D2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8" customWidth="1" min="4" max="4"/>
    <col width="20" customWidth="1" min="5" max="5"/>
    <col width="18" customWidth="1" min="6" max="6"/>
    <col width="20" customWidth="1" min="7" max="7"/>
    <col width="25" customWidth="1" min="8" max="8"/>
  </cols>
  <sheetData>
    <row r="1">
      <c r="A1" s="9" t="inlineStr">
        <is>
          <t>ESTRUCTURA SALARIAL Y NÓMINA</t>
        </is>
      </c>
    </row>
    <row r="3">
      <c r="A3" s="10" t="inlineStr">
        <is>
          <t>ID</t>
        </is>
      </c>
      <c r="B3" s="10" t="inlineStr">
        <is>
          <t>Grupo Ocupacional</t>
        </is>
      </c>
      <c r="C3" s="10" t="inlineStr">
        <is>
          <t>Salario Base Mensual</t>
        </is>
      </c>
      <c r="D3" s="10" t="inlineStr">
        <is>
          <t>Factor Prestacional</t>
        </is>
      </c>
      <c r="E3" s="10" t="inlineStr">
        <is>
          <t>Costo Total Mensual</t>
        </is>
      </c>
      <c r="F3" s="10" t="inlineStr">
        <is>
          <t>Cantidad Personal</t>
        </is>
      </c>
      <c r="G3" s="10" t="inlineStr">
        <is>
          <t>Costo Total Grupo</t>
        </is>
      </c>
      <c r="H3" s="10" t="inlineStr">
        <is>
          <t>Sede</t>
        </is>
      </c>
    </row>
    <row r="4">
      <c r="A4" s="5" t="inlineStr">
        <is>
          <t>G001</t>
        </is>
      </c>
      <c r="B4" s="5" t="inlineStr">
        <is>
          <t>Cardiólogo Especialista</t>
        </is>
      </c>
      <c r="C4" s="11" t="n">
        <v>12000000</v>
      </c>
      <c r="D4" s="5">
        <f>PARAMETROS!$B$10</f>
        <v/>
      </c>
      <c r="E4" s="12">
        <f>C4*D4</f>
        <v/>
      </c>
      <c r="F4" s="6" t="n">
        <v>6</v>
      </c>
      <c r="G4" s="12">
        <f>E4*F4</f>
        <v/>
      </c>
      <c r="H4" s="5" t="inlineStr">
        <is>
          <t>Sede Norte - Bogotá</t>
        </is>
      </c>
    </row>
    <row r="5">
      <c r="A5" s="5" t="inlineStr">
        <is>
          <t>G002</t>
        </is>
      </c>
      <c r="B5" s="5" t="inlineStr">
        <is>
          <t>Cardiólogo Especialista</t>
        </is>
      </c>
      <c r="C5" s="11" t="n">
        <v>12000000</v>
      </c>
      <c r="D5" s="5">
        <f>PARAMETROS!$B$10</f>
        <v/>
      </c>
      <c r="E5" s="12">
        <f>C5*D5</f>
        <v/>
      </c>
      <c r="F5" s="6" t="n">
        <v>5</v>
      </c>
      <c r="G5" s="12">
        <f>E5*F5</f>
        <v/>
      </c>
      <c r="H5" s="5" t="inlineStr">
        <is>
          <t>Sede Sur - Medellín</t>
        </is>
      </c>
    </row>
    <row r="6">
      <c r="A6" s="5" t="inlineStr">
        <is>
          <t>G003</t>
        </is>
      </c>
      <c r="B6" s="5" t="inlineStr">
        <is>
          <t>Cardiólogo Especialista</t>
        </is>
      </c>
      <c r="C6" s="11" t="n">
        <v>12000000</v>
      </c>
      <c r="D6" s="5">
        <f>PARAMETROS!$B$10</f>
        <v/>
      </c>
      <c r="E6" s="12">
        <f>C6*D6</f>
        <v/>
      </c>
      <c r="F6" s="6" t="n">
        <v>4</v>
      </c>
      <c r="G6" s="12">
        <f>E6*F6</f>
        <v/>
      </c>
      <c r="H6" s="5" t="inlineStr">
        <is>
          <t>Sede Centro - Cali</t>
        </is>
      </c>
    </row>
    <row r="7">
      <c r="A7" s="5" t="inlineStr">
        <is>
          <t>G004</t>
        </is>
      </c>
      <c r="B7" s="5" t="inlineStr">
        <is>
          <t>Cardiólogo General</t>
        </is>
      </c>
      <c r="C7" s="11" t="n">
        <v>8000000</v>
      </c>
      <c r="D7" s="5">
        <f>PARAMETROS!$B$10</f>
        <v/>
      </c>
      <c r="E7" s="12">
        <f>C7*D7</f>
        <v/>
      </c>
      <c r="F7" s="6" t="n">
        <v>3</v>
      </c>
      <c r="G7" s="12">
        <f>E7*F7</f>
        <v/>
      </c>
      <c r="H7" s="5" t="inlineStr">
        <is>
          <t>Sede Norte - Bogotá</t>
        </is>
      </c>
    </row>
    <row r="8">
      <c r="A8" s="5" t="inlineStr">
        <is>
          <t>G005</t>
        </is>
      </c>
      <c r="B8" s="5" t="inlineStr">
        <is>
          <t>Cardiólogo General</t>
        </is>
      </c>
      <c r="C8" s="11" t="n">
        <v>8000000</v>
      </c>
      <c r="D8" s="5">
        <f>PARAMETROS!$B$10</f>
        <v/>
      </c>
      <c r="E8" s="12">
        <f>C8*D8</f>
        <v/>
      </c>
      <c r="F8" s="6" t="n">
        <v>2</v>
      </c>
      <c r="G8" s="12">
        <f>E8*F8</f>
        <v/>
      </c>
      <c r="H8" s="5" t="inlineStr">
        <is>
          <t>Sede Sur - Medellín</t>
        </is>
      </c>
    </row>
    <row r="9">
      <c r="A9" s="5" t="inlineStr">
        <is>
          <t>G006</t>
        </is>
      </c>
      <c r="B9" s="5" t="inlineStr">
        <is>
          <t>Cardiólogo General</t>
        </is>
      </c>
      <c r="C9" s="11" t="n">
        <v>8000000</v>
      </c>
      <c r="D9" s="5">
        <f>PARAMETROS!$B$10</f>
        <v/>
      </c>
      <c r="E9" s="12">
        <f>C9*D9</f>
        <v/>
      </c>
      <c r="F9" s="6" t="n">
        <v>6</v>
      </c>
      <c r="G9" s="12">
        <f>E9*F9</f>
        <v/>
      </c>
      <c r="H9" s="5" t="inlineStr">
        <is>
          <t>Sede Centro - Cali</t>
        </is>
      </c>
    </row>
    <row r="10">
      <c r="A10" s="5" t="inlineStr">
        <is>
          <t>G007</t>
        </is>
      </c>
      <c r="B10" s="5" t="inlineStr">
        <is>
          <t>Médico General</t>
        </is>
      </c>
      <c r="C10" s="11" t="n">
        <v>5000000</v>
      </c>
      <c r="D10" s="5">
        <f>PARAMETROS!$B$10</f>
        <v/>
      </c>
      <c r="E10" s="12">
        <f>C10*D10</f>
        <v/>
      </c>
      <c r="F10" s="6" t="n">
        <v>5</v>
      </c>
      <c r="G10" s="12">
        <f>E10*F10</f>
        <v/>
      </c>
      <c r="H10" s="5" t="inlineStr">
        <is>
          <t>Sede Norte - Bogotá</t>
        </is>
      </c>
    </row>
    <row r="11">
      <c r="A11" s="5" t="inlineStr">
        <is>
          <t>G008</t>
        </is>
      </c>
      <c r="B11" s="5" t="inlineStr">
        <is>
          <t>Médico General</t>
        </is>
      </c>
      <c r="C11" s="11" t="n">
        <v>5000000</v>
      </c>
      <c r="D11" s="5">
        <f>PARAMETROS!$B$10</f>
        <v/>
      </c>
      <c r="E11" s="12">
        <f>C11*D11</f>
        <v/>
      </c>
      <c r="F11" s="6" t="n">
        <v>4</v>
      </c>
      <c r="G11" s="12">
        <f>E11*F11</f>
        <v/>
      </c>
      <c r="H11" s="5" t="inlineStr">
        <is>
          <t>Sede Sur - Medellín</t>
        </is>
      </c>
    </row>
    <row r="12">
      <c r="A12" s="5" t="inlineStr">
        <is>
          <t>G009</t>
        </is>
      </c>
      <c r="B12" s="5" t="inlineStr">
        <is>
          <t>Médico General</t>
        </is>
      </c>
      <c r="C12" s="11" t="n">
        <v>5000000</v>
      </c>
      <c r="D12" s="5">
        <f>PARAMETROS!$B$10</f>
        <v/>
      </c>
      <c r="E12" s="12">
        <f>C12*D12</f>
        <v/>
      </c>
      <c r="F12" s="6" t="n">
        <v>6</v>
      </c>
      <c r="G12" s="12">
        <f>E12*F12</f>
        <v/>
      </c>
      <c r="H12" s="5" t="inlineStr">
        <is>
          <t>Sede Centro - Cali</t>
        </is>
      </c>
    </row>
    <row r="13">
      <c r="A13" s="5" t="inlineStr">
        <is>
          <t>G010</t>
        </is>
      </c>
      <c r="B13" s="5" t="inlineStr">
        <is>
          <t>Enfermero Especializado</t>
        </is>
      </c>
      <c r="C13" s="11" t="n">
        <v>3500000</v>
      </c>
      <c r="D13" s="5">
        <f>PARAMETROS!$B$10</f>
        <v/>
      </c>
      <c r="E13" s="12">
        <f>C13*D13</f>
        <v/>
      </c>
      <c r="F13" s="6" t="n">
        <v>5</v>
      </c>
      <c r="G13" s="12">
        <f>E13*F13</f>
        <v/>
      </c>
      <c r="H13" s="5" t="inlineStr">
        <is>
          <t>Sede Norte - Bogotá</t>
        </is>
      </c>
    </row>
    <row r="14">
      <c r="A14" s="5" t="inlineStr">
        <is>
          <t>G011</t>
        </is>
      </c>
      <c r="B14" s="5" t="inlineStr">
        <is>
          <t>Enfermero Especializado</t>
        </is>
      </c>
      <c r="C14" s="11" t="n">
        <v>3500000</v>
      </c>
      <c r="D14" s="5">
        <f>PARAMETROS!$B$10</f>
        <v/>
      </c>
      <c r="E14" s="12">
        <f>C14*D14</f>
        <v/>
      </c>
      <c r="F14" s="6" t="n">
        <v>2</v>
      </c>
      <c r="G14" s="12">
        <f>E14*F14</f>
        <v/>
      </c>
      <c r="H14" s="5" t="inlineStr">
        <is>
          <t>Sede Sur - Medellín</t>
        </is>
      </c>
    </row>
    <row r="15">
      <c r="A15" s="5" t="inlineStr">
        <is>
          <t>G012</t>
        </is>
      </c>
      <c r="B15" s="5" t="inlineStr">
        <is>
          <t>Enfermero Especializado</t>
        </is>
      </c>
      <c r="C15" s="11" t="n">
        <v>3500000</v>
      </c>
      <c r="D15" s="5">
        <f>PARAMETROS!$B$10</f>
        <v/>
      </c>
      <c r="E15" s="12">
        <f>C15*D15</f>
        <v/>
      </c>
      <c r="F15" s="6" t="n">
        <v>2</v>
      </c>
      <c r="G15" s="12">
        <f>E15*F15</f>
        <v/>
      </c>
      <c r="H15" s="5" t="inlineStr">
        <is>
          <t>Sede Centro - Cali</t>
        </is>
      </c>
    </row>
    <row r="16">
      <c r="A16" s="5" t="inlineStr">
        <is>
          <t>G013</t>
        </is>
      </c>
      <c r="B16" s="5" t="inlineStr">
        <is>
          <t>Enfermero</t>
        </is>
      </c>
      <c r="C16" s="11" t="n">
        <v>2800000</v>
      </c>
      <c r="D16" s="5">
        <f>PARAMETROS!$B$10</f>
        <v/>
      </c>
      <c r="E16" s="12">
        <f>C16*D16</f>
        <v/>
      </c>
      <c r="F16" s="6" t="n">
        <v>8</v>
      </c>
      <c r="G16" s="12">
        <f>E16*F16</f>
        <v/>
      </c>
      <c r="H16" s="5" t="inlineStr">
        <is>
          <t>Sede Norte - Bogotá</t>
        </is>
      </c>
    </row>
    <row r="17">
      <c r="A17" s="5" t="inlineStr">
        <is>
          <t>G014</t>
        </is>
      </c>
      <c r="B17" s="5" t="inlineStr">
        <is>
          <t>Enfermero</t>
        </is>
      </c>
      <c r="C17" s="11" t="n">
        <v>2800000</v>
      </c>
      <c r="D17" s="5">
        <f>PARAMETROS!$B$10</f>
        <v/>
      </c>
      <c r="E17" s="12">
        <f>C17*D17</f>
        <v/>
      </c>
      <c r="F17" s="6" t="n">
        <v>2</v>
      </c>
      <c r="G17" s="12">
        <f>E17*F17</f>
        <v/>
      </c>
      <c r="H17" s="5" t="inlineStr">
        <is>
          <t>Sede Sur - Medellín</t>
        </is>
      </c>
    </row>
    <row r="18">
      <c r="A18" s="5" t="inlineStr">
        <is>
          <t>G015</t>
        </is>
      </c>
      <c r="B18" s="5" t="inlineStr">
        <is>
          <t>Enfermero</t>
        </is>
      </c>
      <c r="C18" s="11" t="n">
        <v>2800000</v>
      </c>
      <c r="D18" s="5">
        <f>PARAMETROS!$B$10</f>
        <v/>
      </c>
      <c r="E18" s="12">
        <f>C18*D18</f>
        <v/>
      </c>
      <c r="F18" s="6" t="n">
        <v>4</v>
      </c>
      <c r="G18" s="12">
        <f>E18*F18</f>
        <v/>
      </c>
      <c r="H18" s="5" t="inlineStr">
        <is>
          <t>Sede Centro - Cali</t>
        </is>
      </c>
    </row>
    <row r="19">
      <c r="A19" s="5" t="inlineStr">
        <is>
          <t>G016</t>
        </is>
      </c>
      <c r="B19" s="5" t="inlineStr">
        <is>
          <t>Técnico Radiólogo</t>
        </is>
      </c>
      <c r="C19" s="11" t="n">
        <v>2500000</v>
      </c>
      <c r="D19" s="5">
        <f>PARAMETROS!$B$10</f>
        <v/>
      </c>
      <c r="E19" s="12">
        <f>C19*D19</f>
        <v/>
      </c>
      <c r="F19" s="6" t="n">
        <v>8</v>
      </c>
      <c r="G19" s="12">
        <f>E19*F19</f>
        <v/>
      </c>
      <c r="H19" s="5" t="inlineStr">
        <is>
          <t>Sede Norte - Bogotá</t>
        </is>
      </c>
    </row>
    <row r="20">
      <c r="A20" s="5" t="inlineStr">
        <is>
          <t>G017</t>
        </is>
      </c>
      <c r="B20" s="5" t="inlineStr">
        <is>
          <t>Técnico Radiólogo</t>
        </is>
      </c>
      <c r="C20" s="11" t="n">
        <v>2500000</v>
      </c>
      <c r="D20" s="5">
        <f>PARAMETROS!$B$10</f>
        <v/>
      </c>
      <c r="E20" s="12">
        <f>C20*D20</f>
        <v/>
      </c>
      <c r="F20" s="6" t="n">
        <v>5</v>
      </c>
      <c r="G20" s="12">
        <f>E20*F20</f>
        <v/>
      </c>
      <c r="H20" s="5" t="inlineStr">
        <is>
          <t>Sede Sur - Medellín</t>
        </is>
      </c>
    </row>
    <row r="21">
      <c r="A21" s="5" t="inlineStr">
        <is>
          <t>G018</t>
        </is>
      </c>
      <c r="B21" s="5" t="inlineStr">
        <is>
          <t>Técnico Radiólogo</t>
        </is>
      </c>
      <c r="C21" s="11" t="n">
        <v>2500000</v>
      </c>
      <c r="D21" s="5">
        <f>PARAMETROS!$B$10</f>
        <v/>
      </c>
      <c r="E21" s="12">
        <f>C21*D21</f>
        <v/>
      </c>
      <c r="F21" s="6" t="n">
        <v>5</v>
      </c>
      <c r="G21" s="12">
        <f>E21*F21</f>
        <v/>
      </c>
      <c r="H21" s="5" t="inlineStr">
        <is>
          <t>Sede Centro - Cali</t>
        </is>
      </c>
    </row>
    <row r="22">
      <c r="A22" s="5" t="inlineStr">
        <is>
          <t>G019</t>
        </is>
      </c>
      <c r="B22" s="5" t="inlineStr">
        <is>
          <t>Auxiliar de Enfermería</t>
        </is>
      </c>
      <c r="C22" s="11" t="n">
        <v>1800000</v>
      </c>
      <c r="D22" s="5">
        <f>PARAMETROS!$B$10</f>
        <v/>
      </c>
      <c r="E22" s="12">
        <f>C22*D22</f>
        <v/>
      </c>
      <c r="F22" s="6" t="n">
        <v>4</v>
      </c>
      <c r="G22" s="12">
        <f>E22*F22</f>
        <v/>
      </c>
      <c r="H22" s="5" t="inlineStr">
        <is>
          <t>Sede Norte - Bogotá</t>
        </is>
      </c>
    </row>
    <row r="23">
      <c r="A23" s="5" t="inlineStr">
        <is>
          <t>G020</t>
        </is>
      </c>
      <c r="B23" s="5" t="inlineStr">
        <is>
          <t>Auxiliar de Enfermería</t>
        </is>
      </c>
      <c r="C23" s="11" t="n">
        <v>1800000</v>
      </c>
      <c r="D23" s="5">
        <f>PARAMETROS!$B$10</f>
        <v/>
      </c>
      <c r="E23" s="12">
        <f>C23*D23</f>
        <v/>
      </c>
      <c r="F23" s="6" t="n">
        <v>6</v>
      </c>
      <c r="G23" s="12">
        <f>E23*F23</f>
        <v/>
      </c>
      <c r="H23" s="5" t="inlineStr">
        <is>
          <t>Sede Sur - Medellín</t>
        </is>
      </c>
    </row>
    <row r="24">
      <c r="A24" s="5" t="inlineStr">
        <is>
          <t>G021</t>
        </is>
      </c>
      <c r="B24" s="5" t="inlineStr">
        <is>
          <t>Auxiliar de Enfermería</t>
        </is>
      </c>
      <c r="C24" s="11" t="n">
        <v>1800000</v>
      </c>
      <c r="D24" s="5">
        <f>PARAMETROS!$B$10</f>
        <v/>
      </c>
      <c r="E24" s="12">
        <f>C24*D24</f>
        <v/>
      </c>
      <c r="F24" s="6" t="n">
        <v>3</v>
      </c>
      <c r="G24" s="12">
        <f>E24*F24</f>
        <v/>
      </c>
      <c r="H24" s="5" t="inlineStr">
        <is>
          <t>Sede Centro - Cali</t>
        </is>
      </c>
    </row>
    <row r="25">
      <c r="B25" s="13" t="inlineStr">
        <is>
          <t>TOTAL NÓMINA MENSUAL</t>
        </is>
      </c>
      <c r="G25" s="14">
        <f>SUM(G4:G24)</f>
        <v/>
      </c>
    </row>
  </sheetData>
  <mergeCells count="2">
    <mergeCell ref="B25:F2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25" customWidth="1" min="5" max="5"/>
    <col width="20" customWidth="1" min="6" max="6"/>
    <col width="25" customWidth="1" min="7" max="7"/>
  </cols>
  <sheetData>
    <row r="1">
      <c r="A1" s="9" t="inlineStr">
        <is>
          <t>ANÁLISIS DE CAPACIDAD PRÁCTICA</t>
        </is>
      </c>
    </row>
    <row r="2">
      <c r="A2" s="15" t="inlineStr">
        <is>
          <t>NOTA: La capacidad práctica (85%) es el tiempo REAL disponible. Se descuenta ~15% por pausas, reuniones, capacitación, etc.</t>
        </is>
      </c>
    </row>
    <row r="4">
      <c r="A4" s="10" t="inlineStr">
        <is>
          <t>Grupo Ocupacional</t>
        </is>
      </c>
      <c r="B4" s="10" t="inlineStr">
        <is>
          <t>Horas Mensuales</t>
        </is>
      </c>
      <c r="C4" s="10" t="inlineStr">
        <is>
          <t>Minutos Disponibles</t>
        </is>
      </c>
      <c r="D4" s="10" t="inlineStr">
        <is>
          <t>% Capacidad Práctica</t>
        </is>
      </c>
      <c r="E4" s="10" t="inlineStr">
        <is>
          <t>Minutos Capacidad Práctica</t>
        </is>
      </c>
      <c r="F4" s="10" t="inlineStr">
        <is>
          <t>Personal Disponible</t>
        </is>
      </c>
      <c r="G4" s="10" t="inlineStr">
        <is>
          <t>Total Minutos Grupo</t>
        </is>
      </c>
    </row>
    <row r="5">
      <c r="A5" s="5" t="inlineStr">
        <is>
          <t>Cardiólogo Especialista</t>
        </is>
      </c>
      <c r="B5" s="5">
        <f>PARAMETROS!$B$7</f>
        <v/>
      </c>
      <c r="C5" s="5">
        <f>B5*60</f>
        <v/>
      </c>
      <c r="D5" s="16">
        <f>PARAMETROS!$B$9/100</f>
        <v/>
      </c>
      <c r="E5" s="17">
        <f>C5*D5</f>
        <v/>
      </c>
      <c r="F5" s="5">
        <f>SUMIF(NOMINA!$B:$B,A5,NOMINA!$F:$F)</f>
        <v/>
      </c>
      <c r="G5" s="17">
        <f>E5*F5</f>
        <v/>
      </c>
    </row>
    <row r="6">
      <c r="A6" s="5" t="inlineStr">
        <is>
          <t>Cardiólogo General</t>
        </is>
      </c>
      <c r="B6" s="5">
        <f>PARAMETROS!$B$7</f>
        <v/>
      </c>
      <c r="C6" s="5">
        <f>B6*60</f>
        <v/>
      </c>
      <c r="D6" s="16">
        <f>PARAMETROS!$B$9/100</f>
        <v/>
      </c>
      <c r="E6" s="17">
        <f>C6*D6</f>
        <v/>
      </c>
      <c r="F6" s="5">
        <f>SUMIF(NOMINA!$B:$B,A6,NOMINA!$F:$F)</f>
        <v/>
      </c>
      <c r="G6" s="17">
        <f>E6*F6</f>
        <v/>
      </c>
    </row>
    <row r="7">
      <c r="A7" s="5" t="inlineStr">
        <is>
          <t>Médico General</t>
        </is>
      </c>
      <c r="B7" s="5">
        <f>PARAMETROS!$B$7</f>
        <v/>
      </c>
      <c r="C7" s="5">
        <f>B7*60</f>
        <v/>
      </c>
      <c r="D7" s="16">
        <f>PARAMETROS!$B$9/100</f>
        <v/>
      </c>
      <c r="E7" s="17">
        <f>C7*D7</f>
        <v/>
      </c>
      <c r="F7" s="5">
        <f>SUMIF(NOMINA!$B:$B,A7,NOMINA!$F:$F)</f>
        <v/>
      </c>
      <c r="G7" s="17">
        <f>E7*F7</f>
        <v/>
      </c>
    </row>
    <row r="8">
      <c r="A8" s="5" t="inlineStr">
        <is>
          <t>Enfermero Especializado</t>
        </is>
      </c>
      <c r="B8" s="5">
        <f>PARAMETROS!$B$7</f>
        <v/>
      </c>
      <c r="C8" s="5">
        <f>B8*60</f>
        <v/>
      </c>
      <c r="D8" s="16">
        <f>PARAMETROS!$B$9/100</f>
        <v/>
      </c>
      <c r="E8" s="17">
        <f>C8*D8</f>
        <v/>
      </c>
      <c r="F8" s="5">
        <f>SUMIF(NOMINA!$B:$B,A8,NOMINA!$F:$F)</f>
        <v/>
      </c>
      <c r="G8" s="17">
        <f>E8*F8</f>
        <v/>
      </c>
    </row>
    <row r="9">
      <c r="A9" s="5" t="inlineStr">
        <is>
          <t>Enfermero</t>
        </is>
      </c>
      <c r="B9" s="5">
        <f>PARAMETROS!$B$7</f>
        <v/>
      </c>
      <c r="C9" s="5">
        <f>B9*60</f>
        <v/>
      </c>
      <c r="D9" s="16">
        <f>PARAMETROS!$B$9/100</f>
        <v/>
      </c>
      <c r="E9" s="17">
        <f>C9*D9</f>
        <v/>
      </c>
      <c r="F9" s="5">
        <f>SUMIF(NOMINA!$B:$B,A9,NOMINA!$F:$F)</f>
        <v/>
      </c>
      <c r="G9" s="17">
        <f>E9*F9</f>
        <v/>
      </c>
    </row>
    <row r="10">
      <c r="A10" s="5" t="inlineStr">
        <is>
          <t>Técnico Radiólogo</t>
        </is>
      </c>
      <c r="B10" s="5">
        <f>PARAMETROS!$B$7</f>
        <v/>
      </c>
      <c r="C10" s="5">
        <f>B10*60</f>
        <v/>
      </c>
      <c r="D10" s="16">
        <f>PARAMETROS!$B$9/100</f>
        <v/>
      </c>
      <c r="E10" s="17">
        <f>C10*D10</f>
        <v/>
      </c>
      <c r="F10" s="5">
        <f>SUMIF(NOMINA!$B:$B,A10,NOMINA!$F:$F)</f>
        <v/>
      </c>
      <c r="G10" s="17">
        <f>E10*F10</f>
        <v/>
      </c>
    </row>
    <row r="11">
      <c r="A11" s="5" t="inlineStr">
        <is>
          <t>Auxiliar de Enfermería</t>
        </is>
      </c>
      <c r="B11" s="5">
        <f>PARAMETROS!$B$7</f>
        <v/>
      </c>
      <c r="C11" s="5">
        <f>B11*60</f>
        <v/>
      </c>
      <c r="D11" s="16">
        <f>PARAMETROS!$B$9/100</f>
        <v/>
      </c>
      <c r="E11" s="17">
        <f>C11*D11</f>
        <v/>
      </c>
      <c r="F11" s="5">
        <f>SUMIF(NOMINA!$B:$B,A11,NOMINA!$F:$F)</f>
        <v/>
      </c>
      <c r="G11" s="17">
        <f>E11*F11</f>
        <v/>
      </c>
    </row>
    <row r="12">
      <c r="A12" s="13" t="inlineStr">
        <is>
          <t>TOTAL CAPACIDAD ORGANIZACIONAL</t>
        </is>
      </c>
      <c r="G12" s="18">
        <f>SUM(G4:G11)</f>
        <v/>
      </c>
    </row>
  </sheetData>
  <mergeCells count="3">
    <mergeCell ref="A2:G2"/>
    <mergeCell ref="A1:G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20" customWidth="1" min="4" max="4"/>
    <col width="25" customWidth="1" min="5" max="5"/>
  </cols>
  <sheetData>
    <row r="1">
      <c r="A1" s="9" t="inlineStr">
        <is>
          <t>COSTO POR MINUTO - NÚCLEO DEL MODELO TDABC</t>
        </is>
      </c>
    </row>
    <row r="3">
      <c r="A3" s="10" t="inlineStr">
        <is>
          <t>Grupo Ocupacional</t>
        </is>
      </c>
      <c r="B3" s="10" t="inlineStr">
        <is>
          <t>Costo Total Mensual</t>
        </is>
      </c>
      <c r="C3" s="10" t="inlineStr">
        <is>
          <t>Minutos Capacidad Práctica</t>
        </is>
      </c>
      <c r="D3" s="10" t="inlineStr">
        <is>
          <t>Costo por Minuto</t>
        </is>
      </c>
      <c r="E3" s="10" t="inlineStr">
        <is>
          <t>Sede</t>
        </is>
      </c>
    </row>
    <row r="4">
      <c r="A4" s="5" t="inlineStr">
        <is>
          <t>Cardiólogo Especialista</t>
        </is>
      </c>
      <c r="B4" s="19">
        <f>SUMIFS(NOMINA!$E:$E,NOMINA!$B:$B,A4,NOMINA!$H:$H,E4)</f>
        <v/>
      </c>
      <c r="C4" s="20">
        <f>VLOOKUP(A4,CAPACIDAD!$A:$E,5,FALSE)</f>
        <v/>
      </c>
      <c r="D4" s="21">
        <f>IF(C4&gt;0,B4/C4,0)</f>
        <v/>
      </c>
      <c r="E4" s="5" t="inlineStr">
        <is>
          <t>Sede Norte - Bogotá</t>
        </is>
      </c>
    </row>
    <row r="5">
      <c r="A5" s="5" t="inlineStr">
        <is>
          <t>Cardiólogo Especialista</t>
        </is>
      </c>
      <c r="B5" s="19">
        <f>SUMIFS(NOMINA!$E:$E,NOMINA!$B:$B,A5,NOMINA!$H:$H,E5)</f>
        <v/>
      </c>
      <c r="C5" s="20">
        <f>VLOOKUP(A5,CAPACIDAD!$A:$E,5,FALSE)</f>
        <v/>
      </c>
      <c r="D5" s="21">
        <f>IF(C5&gt;0,B5/C5,0)</f>
        <v/>
      </c>
      <c r="E5" s="5" t="inlineStr">
        <is>
          <t>Sede Sur - Medellín</t>
        </is>
      </c>
    </row>
    <row r="6">
      <c r="A6" s="5" t="inlineStr">
        <is>
          <t>Cardiólogo Especialista</t>
        </is>
      </c>
      <c r="B6" s="19">
        <f>SUMIFS(NOMINA!$E:$E,NOMINA!$B:$B,A6,NOMINA!$H:$H,E6)</f>
        <v/>
      </c>
      <c r="C6" s="20">
        <f>VLOOKUP(A6,CAPACIDAD!$A:$E,5,FALSE)</f>
        <v/>
      </c>
      <c r="D6" s="21">
        <f>IF(C6&gt;0,B6/C6,0)</f>
        <v/>
      </c>
      <c r="E6" s="5" t="inlineStr">
        <is>
          <t>Sede Centro - Cali</t>
        </is>
      </c>
    </row>
    <row r="7">
      <c r="A7" s="5" t="inlineStr">
        <is>
          <t>Cardiólogo General</t>
        </is>
      </c>
      <c r="B7" s="19">
        <f>SUMIFS(NOMINA!$E:$E,NOMINA!$B:$B,A7,NOMINA!$H:$H,E7)</f>
        <v/>
      </c>
      <c r="C7" s="20">
        <f>VLOOKUP(A7,CAPACIDAD!$A:$E,5,FALSE)</f>
        <v/>
      </c>
      <c r="D7" s="21">
        <f>IF(C7&gt;0,B7/C7,0)</f>
        <v/>
      </c>
      <c r="E7" s="5" t="inlineStr">
        <is>
          <t>Sede Norte - Bogotá</t>
        </is>
      </c>
    </row>
    <row r="8">
      <c r="A8" s="5" t="inlineStr">
        <is>
          <t>Cardiólogo General</t>
        </is>
      </c>
      <c r="B8" s="19">
        <f>SUMIFS(NOMINA!$E:$E,NOMINA!$B:$B,A8,NOMINA!$H:$H,E8)</f>
        <v/>
      </c>
      <c r="C8" s="20">
        <f>VLOOKUP(A8,CAPACIDAD!$A:$E,5,FALSE)</f>
        <v/>
      </c>
      <c r="D8" s="21">
        <f>IF(C8&gt;0,B8/C8,0)</f>
        <v/>
      </c>
      <c r="E8" s="5" t="inlineStr">
        <is>
          <t>Sede Sur - Medellín</t>
        </is>
      </c>
    </row>
    <row r="9">
      <c r="A9" s="5" t="inlineStr">
        <is>
          <t>Cardiólogo General</t>
        </is>
      </c>
      <c r="B9" s="19">
        <f>SUMIFS(NOMINA!$E:$E,NOMINA!$B:$B,A9,NOMINA!$H:$H,E9)</f>
        <v/>
      </c>
      <c r="C9" s="20">
        <f>VLOOKUP(A9,CAPACIDAD!$A:$E,5,FALSE)</f>
        <v/>
      </c>
      <c r="D9" s="21">
        <f>IF(C9&gt;0,B9/C9,0)</f>
        <v/>
      </c>
      <c r="E9" s="5" t="inlineStr">
        <is>
          <t>Sede Centro - Cali</t>
        </is>
      </c>
    </row>
    <row r="10">
      <c r="A10" s="5" t="inlineStr">
        <is>
          <t>Médico General</t>
        </is>
      </c>
      <c r="B10" s="19">
        <f>SUMIFS(NOMINA!$E:$E,NOMINA!$B:$B,A10,NOMINA!$H:$H,E10)</f>
        <v/>
      </c>
      <c r="C10" s="20">
        <f>VLOOKUP(A10,CAPACIDAD!$A:$E,5,FALSE)</f>
        <v/>
      </c>
      <c r="D10" s="21">
        <f>IF(C10&gt;0,B10/C10,0)</f>
        <v/>
      </c>
      <c r="E10" s="5" t="inlineStr">
        <is>
          <t>Sede Norte - Bogotá</t>
        </is>
      </c>
    </row>
    <row r="11">
      <c r="A11" s="5" t="inlineStr">
        <is>
          <t>Médico General</t>
        </is>
      </c>
      <c r="B11" s="19">
        <f>SUMIFS(NOMINA!$E:$E,NOMINA!$B:$B,A11,NOMINA!$H:$H,E11)</f>
        <v/>
      </c>
      <c r="C11" s="20">
        <f>VLOOKUP(A11,CAPACIDAD!$A:$E,5,FALSE)</f>
        <v/>
      </c>
      <c r="D11" s="21">
        <f>IF(C11&gt;0,B11/C11,0)</f>
        <v/>
      </c>
      <c r="E11" s="5" t="inlineStr">
        <is>
          <t>Sede Sur - Medellín</t>
        </is>
      </c>
    </row>
    <row r="12">
      <c r="A12" s="5" t="inlineStr">
        <is>
          <t>Médico General</t>
        </is>
      </c>
      <c r="B12" s="19">
        <f>SUMIFS(NOMINA!$E:$E,NOMINA!$B:$B,A12,NOMINA!$H:$H,E12)</f>
        <v/>
      </c>
      <c r="C12" s="20">
        <f>VLOOKUP(A12,CAPACIDAD!$A:$E,5,FALSE)</f>
        <v/>
      </c>
      <c r="D12" s="21">
        <f>IF(C12&gt;0,B12/C12,0)</f>
        <v/>
      </c>
      <c r="E12" s="5" t="inlineStr">
        <is>
          <t>Sede Centro - Cali</t>
        </is>
      </c>
    </row>
    <row r="13">
      <c r="A13" s="5" t="inlineStr">
        <is>
          <t>Enfermero Especializado</t>
        </is>
      </c>
      <c r="B13" s="19">
        <f>SUMIFS(NOMINA!$E:$E,NOMINA!$B:$B,A13,NOMINA!$H:$H,E13)</f>
        <v/>
      </c>
      <c r="C13" s="20">
        <f>VLOOKUP(A13,CAPACIDAD!$A:$E,5,FALSE)</f>
        <v/>
      </c>
      <c r="D13" s="21">
        <f>IF(C13&gt;0,B13/C13,0)</f>
        <v/>
      </c>
      <c r="E13" s="5" t="inlineStr">
        <is>
          <t>Sede Norte - Bogotá</t>
        </is>
      </c>
    </row>
    <row r="14">
      <c r="A14" s="5" t="inlineStr">
        <is>
          <t>Enfermero Especializado</t>
        </is>
      </c>
      <c r="B14" s="19">
        <f>SUMIFS(NOMINA!$E:$E,NOMINA!$B:$B,A14,NOMINA!$H:$H,E14)</f>
        <v/>
      </c>
      <c r="C14" s="20">
        <f>VLOOKUP(A14,CAPACIDAD!$A:$E,5,FALSE)</f>
        <v/>
      </c>
      <c r="D14" s="21">
        <f>IF(C14&gt;0,B14/C14,0)</f>
        <v/>
      </c>
      <c r="E14" s="5" t="inlineStr">
        <is>
          <t>Sede Sur - Medellín</t>
        </is>
      </c>
    </row>
    <row r="15">
      <c r="A15" s="5" t="inlineStr">
        <is>
          <t>Enfermero Especializado</t>
        </is>
      </c>
      <c r="B15" s="19">
        <f>SUMIFS(NOMINA!$E:$E,NOMINA!$B:$B,A15,NOMINA!$H:$H,E15)</f>
        <v/>
      </c>
      <c r="C15" s="20">
        <f>VLOOKUP(A15,CAPACIDAD!$A:$E,5,FALSE)</f>
        <v/>
      </c>
      <c r="D15" s="21">
        <f>IF(C15&gt;0,B15/C15,0)</f>
        <v/>
      </c>
      <c r="E15" s="5" t="inlineStr">
        <is>
          <t>Sede Centro - Cali</t>
        </is>
      </c>
    </row>
    <row r="16">
      <c r="A16" s="5" t="inlineStr">
        <is>
          <t>Enfermero</t>
        </is>
      </c>
      <c r="B16" s="19">
        <f>SUMIFS(NOMINA!$E:$E,NOMINA!$B:$B,A16,NOMINA!$H:$H,E16)</f>
        <v/>
      </c>
      <c r="C16" s="20">
        <f>VLOOKUP(A16,CAPACIDAD!$A:$E,5,FALSE)</f>
        <v/>
      </c>
      <c r="D16" s="21">
        <f>IF(C16&gt;0,B16/C16,0)</f>
        <v/>
      </c>
      <c r="E16" s="5" t="inlineStr">
        <is>
          <t>Sede Norte - Bogotá</t>
        </is>
      </c>
    </row>
    <row r="17">
      <c r="A17" s="5" t="inlineStr">
        <is>
          <t>Enfermero</t>
        </is>
      </c>
      <c r="B17" s="19">
        <f>SUMIFS(NOMINA!$E:$E,NOMINA!$B:$B,A17,NOMINA!$H:$H,E17)</f>
        <v/>
      </c>
      <c r="C17" s="20">
        <f>VLOOKUP(A17,CAPACIDAD!$A:$E,5,FALSE)</f>
        <v/>
      </c>
      <c r="D17" s="21">
        <f>IF(C17&gt;0,B17/C17,0)</f>
        <v/>
      </c>
      <c r="E17" s="5" t="inlineStr">
        <is>
          <t>Sede Sur - Medellín</t>
        </is>
      </c>
    </row>
    <row r="18">
      <c r="A18" s="5" t="inlineStr">
        <is>
          <t>Enfermero</t>
        </is>
      </c>
      <c r="B18" s="19">
        <f>SUMIFS(NOMINA!$E:$E,NOMINA!$B:$B,A18,NOMINA!$H:$H,E18)</f>
        <v/>
      </c>
      <c r="C18" s="20">
        <f>VLOOKUP(A18,CAPACIDAD!$A:$E,5,FALSE)</f>
        <v/>
      </c>
      <c r="D18" s="21">
        <f>IF(C18&gt;0,B18/C18,0)</f>
        <v/>
      </c>
      <c r="E18" s="5" t="inlineStr">
        <is>
          <t>Sede Centro - Cali</t>
        </is>
      </c>
    </row>
    <row r="19">
      <c r="A19" s="5" t="inlineStr">
        <is>
          <t>Técnico Radiólogo</t>
        </is>
      </c>
      <c r="B19" s="19">
        <f>SUMIFS(NOMINA!$E:$E,NOMINA!$B:$B,A19,NOMINA!$H:$H,E19)</f>
        <v/>
      </c>
      <c r="C19" s="20">
        <f>VLOOKUP(A19,CAPACIDAD!$A:$E,5,FALSE)</f>
        <v/>
      </c>
      <c r="D19" s="21">
        <f>IF(C19&gt;0,B19/C19,0)</f>
        <v/>
      </c>
      <c r="E19" s="5" t="inlineStr">
        <is>
          <t>Sede Norte - Bogotá</t>
        </is>
      </c>
    </row>
    <row r="20">
      <c r="A20" s="5" t="inlineStr">
        <is>
          <t>Técnico Radiólogo</t>
        </is>
      </c>
      <c r="B20" s="19">
        <f>SUMIFS(NOMINA!$E:$E,NOMINA!$B:$B,A20,NOMINA!$H:$H,E20)</f>
        <v/>
      </c>
      <c r="C20" s="20">
        <f>VLOOKUP(A20,CAPACIDAD!$A:$E,5,FALSE)</f>
        <v/>
      </c>
      <c r="D20" s="21">
        <f>IF(C20&gt;0,B20/C20,0)</f>
        <v/>
      </c>
      <c r="E20" s="5" t="inlineStr">
        <is>
          <t>Sede Sur - Medellín</t>
        </is>
      </c>
    </row>
    <row r="21">
      <c r="A21" s="5" t="inlineStr">
        <is>
          <t>Técnico Radiólogo</t>
        </is>
      </c>
      <c r="B21" s="19">
        <f>SUMIFS(NOMINA!$E:$E,NOMINA!$B:$B,A21,NOMINA!$H:$H,E21)</f>
        <v/>
      </c>
      <c r="C21" s="20">
        <f>VLOOKUP(A21,CAPACIDAD!$A:$E,5,FALSE)</f>
        <v/>
      </c>
      <c r="D21" s="21">
        <f>IF(C21&gt;0,B21/C21,0)</f>
        <v/>
      </c>
      <c r="E21" s="5" t="inlineStr">
        <is>
          <t>Sede Centro - Cali</t>
        </is>
      </c>
    </row>
    <row r="22">
      <c r="A22" s="5" t="inlineStr">
        <is>
          <t>Auxiliar de Enfermería</t>
        </is>
      </c>
      <c r="B22" s="19">
        <f>SUMIFS(NOMINA!$E:$E,NOMINA!$B:$B,A22,NOMINA!$H:$H,E22)</f>
        <v/>
      </c>
      <c r="C22" s="20">
        <f>VLOOKUP(A22,CAPACIDAD!$A:$E,5,FALSE)</f>
        <v/>
      </c>
      <c r="D22" s="21">
        <f>IF(C22&gt;0,B22/C22,0)</f>
        <v/>
      </c>
      <c r="E22" s="5" t="inlineStr">
        <is>
          <t>Sede Norte - Bogotá</t>
        </is>
      </c>
    </row>
    <row r="23">
      <c r="A23" s="5" t="inlineStr">
        <is>
          <t>Auxiliar de Enfermería</t>
        </is>
      </c>
      <c r="B23" s="19">
        <f>SUMIFS(NOMINA!$E:$E,NOMINA!$B:$B,A23,NOMINA!$H:$H,E23)</f>
        <v/>
      </c>
      <c r="C23" s="20">
        <f>VLOOKUP(A23,CAPACIDAD!$A:$E,5,FALSE)</f>
        <v/>
      </c>
      <c r="D23" s="21">
        <f>IF(C23&gt;0,B23/C23,0)</f>
        <v/>
      </c>
      <c r="E23" s="5" t="inlineStr">
        <is>
          <t>Sede Sur - Medellín</t>
        </is>
      </c>
    </row>
    <row r="24">
      <c r="A24" s="5" t="inlineStr">
        <is>
          <t>Auxiliar de Enfermería</t>
        </is>
      </c>
      <c r="B24" s="19">
        <f>SUMIFS(NOMINA!$E:$E,NOMINA!$B:$B,A24,NOMINA!$H:$H,E24)</f>
        <v/>
      </c>
      <c r="C24" s="20">
        <f>VLOOKUP(A24,CAPACIDAD!$A:$E,5,FALSE)</f>
        <v/>
      </c>
      <c r="D24" s="21">
        <f>IF(C24&gt;0,B24/C24,0)</f>
        <v/>
      </c>
      <c r="E24" s="5" t="inlineStr">
        <is>
          <t>Sede Centro - Cali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5" customWidth="1" min="3" max="3"/>
    <col width="15" customWidth="1" min="4" max="4"/>
    <col width="18" customWidth="1" min="5" max="5"/>
    <col width="12" customWidth="1" min="6" max="6"/>
  </cols>
  <sheetData>
    <row r="1">
      <c r="A1" s="9" t="inlineStr">
        <is>
          <t>CATÁLOGO DE SERVICIOS</t>
        </is>
      </c>
    </row>
    <row r="3">
      <c r="A3" s="10" t="inlineStr">
        <is>
          <t>Código</t>
        </is>
      </c>
      <c r="B3" s="10" t="inlineStr">
        <is>
          <t>Nombre del Servicio</t>
        </is>
      </c>
      <c r="C3" s="10" t="inlineStr">
        <is>
          <t>Categoría</t>
        </is>
      </c>
      <c r="D3" s="10" t="inlineStr">
        <is>
          <t>Complejidad</t>
        </is>
      </c>
      <c r="E3" s="10" t="inlineStr">
        <is>
          <t>Requiere Insumos</t>
        </is>
      </c>
      <c r="F3" s="10" t="inlineStr">
        <is>
          <t>Estado</t>
        </is>
      </c>
    </row>
    <row r="4">
      <c r="A4" s="5" t="inlineStr">
        <is>
          <t>SV001</t>
        </is>
      </c>
      <c r="B4" s="5" t="inlineStr">
        <is>
          <t>Ecocardiograma Transtorácico</t>
        </is>
      </c>
      <c r="C4" s="5" t="inlineStr">
        <is>
          <t>Diagnóstico No Invasivo</t>
        </is>
      </c>
      <c r="D4" s="5" t="inlineStr">
        <is>
          <t>Baja</t>
        </is>
      </c>
      <c r="E4" s="5" t="inlineStr">
        <is>
          <t>No</t>
        </is>
      </c>
      <c r="F4" s="5" t="inlineStr">
        <is>
          <t>Activo</t>
        </is>
      </c>
    </row>
    <row r="5">
      <c r="A5" s="5" t="inlineStr">
        <is>
          <t>SV002</t>
        </is>
      </c>
      <c r="B5" s="5" t="inlineStr">
        <is>
          <t>Holter 24 Horas</t>
        </is>
      </c>
      <c r="C5" s="5" t="inlineStr">
        <is>
          <t>Diagnóstico No Invasivo</t>
        </is>
      </c>
      <c r="D5" s="5" t="inlineStr">
        <is>
          <t>Baja</t>
        </is>
      </c>
      <c r="E5" s="5" t="inlineStr">
        <is>
          <t>No</t>
        </is>
      </c>
      <c r="F5" s="5" t="inlineStr">
        <is>
          <t>Activo</t>
        </is>
      </c>
    </row>
    <row r="6">
      <c r="A6" s="5" t="inlineStr">
        <is>
          <t>SV003</t>
        </is>
      </c>
      <c r="B6" s="5" t="inlineStr">
        <is>
          <t>Holter 48 Horas</t>
        </is>
      </c>
      <c r="C6" s="5" t="inlineStr">
        <is>
          <t>Diagnóstico No Invasivo</t>
        </is>
      </c>
      <c r="D6" s="5" t="inlineStr">
        <is>
          <t>Baja</t>
        </is>
      </c>
      <c r="E6" s="5" t="inlineStr">
        <is>
          <t>No</t>
        </is>
      </c>
      <c r="F6" s="5" t="inlineStr">
        <is>
          <t>Activo</t>
        </is>
      </c>
    </row>
    <row r="7">
      <c r="A7" s="5" t="inlineStr">
        <is>
          <t>SV004</t>
        </is>
      </c>
      <c r="B7" s="5" t="inlineStr">
        <is>
          <t>Electrocardiograma</t>
        </is>
      </c>
      <c r="C7" s="5" t="inlineStr">
        <is>
          <t>Diagnóstico No Invasivo</t>
        </is>
      </c>
      <c r="D7" s="5" t="inlineStr">
        <is>
          <t>Baja</t>
        </is>
      </c>
      <c r="E7" s="5" t="inlineStr">
        <is>
          <t>No</t>
        </is>
      </c>
      <c r="F7" s="5" t="inlineStr">
        <is>
          <t>Activo</t>
        </is>
      </c>
    </row>
    <row r="8">
      <c r="A8" s="5" t="inlineStr">
        <is>
          <t>SV005</t>
        </is>
      </c>
      <c r="B8" s="5" t="inlineStr">
        <is>
          <t>MAPA 24 Horas</t>
        </is>
      </c>
      <c r="C8" s="5" t="inlineStr">
        <is>
          <t>Diagnóstico No Invasivo</t>
        </is>
      </c>
      <c r="D8" s="5" t="inlineStr">
        <is>
          <t>Baja</t>
        </is>
      </c>
      <c r="E8" s="5" t="inlineStr">
        <is>
          <t>No</t>
        </is>
      </c>
      <c r="F8" s="5" t="inlineStr">
        <is>
          <t>Activo</t>
        </is>
      </c>
    </row>
    <row r="9">
      <c r="A9" s="5" t="inlineStr">
        <is>
          <t>SV006</t>
        </is>
      </c>
      <c r="B9" s="5" t="inlineStr">
        <is>
          <t>Ecocardiograma Doppler</t>
        </is>
      </c>
      <c r="C9" s="5" t="inlineStr">
        <is>
          <t>Diagnóstico No Invasivo</t>
        </is>
      </c>
      <c r="D9" s="5" t="inlineStr">
        <is>
          <t>Baja</t>
        </is>
      </c>
      <c r="E9" s="5" t="inlineStr">
        <is>
          <t>No</t>
        </is>
      </c>
      <c r="F9" s="5" t="inlineStr">
        <is>
          <t>Activo</t>
        </is>
      </c>
    </row>
    <row r="10">
      <c r="A10" s="5" t="inlineStr">
        <is>
          <t>SV007</t>
        </is>
      </c>
      <c r="B10" s="5" t="inlineStr">
        <is>
          <t>Prueba de Esfuerzo</t>
        </is>
      </c>
      <c r="C10" s="5" t="inlineStr">
        <is>
          <t>Diagnóstico Funcional</t>
        </is>
      </c>
      <c r="D10" s="5" t="inlineStr">
        <is>
          <t>Media</t>
        </is>
      </c>
      <c r="E10" s="5" t="inlineStr">
        <is>
          <t>No</t>
        </is>
      </c>
      <c r="F10" s="5" t="inlineStr">
        <is>
          <t>Activo</t>
        </is>
      </c>
    </row>
    <row r="11">
      <c r="A11" s="5" t="inlineStr">
        <is>
          <t>SV008</t>
        </is>
      </c>
      <c r="B11" s="5" t="inlineStr">
        <is>
          <t>Ecocardiograma de Estrés</t>
        </is>
      </c>
      <c r="C11" s="5" t="inlineStr">
        <is>
          <t>Diagnóstico Funcional</t>
        </is>
      </c>
      <c r="D11" s="5" t="inlineStr">
        <is>
          <t>Media</t>
        </is>
      </c>
      <c r="E11" s="5" t="inlineStr">
        <is>
          <t>No</t>
        </is>
      </c>
      <c r="F11" s="5" t="inlineStr">
        <is>
          <t>Activo</t>
        </is>
      </c>
    </row>
    <row r="12">
      <c r="A12" s="5" t="inlineStr">
        <is>
          <t>SV009</t>
        </is>
      </c>
      <c r="B12" s="5" t="inlineStr">
        <is>
          <t>Tilt Test</t>
        </is>
      </c>
      <c r="C12" s="5" t="inlineStr">
        <is>
          <t>Diagnóstico Funcional</t>
        </is>
      </c>
      <c r="D12" s="5" t="inlineStr">
        <is>
          <t>Media</t>
        </is>
      </c>
      <c r="E12" s="5" t="inlineStr">
        <is>
          <t>No</t>
        </is>
      </c>
      <c r="F12" s="5" t="inlineStr">
        <is>
          <t>Activo</t>
        </is>
      </c>
    </row>
    <row r="13">
      <c r="A13" s="5" t="inlineStr">
        <is>
          <t>SV010</t>
        </is>
      </c>
      <c r="B13" s="5" t="inlineStr">
        <is>
          <t>Ecocardiograma Transesofágico</t>
        </is>
      </c>
      <c r="C13" s="5" t="inlineStr">
        <is>
          <t>Diagnóstico Invasivo</t>
        </is>
      </c>
      <c r="D13" s="5" t="inlineStr">
        <is>
          <t>Media-Alta</t>
        </is>
      </c>
      <c r="E13" s="5" t="inlineStr">
        <is>
          <t>Sí</t>
        </is>
      </c>
      <c r="F13" s="5" t="inlineStr">
        <is>
          <t>Activo</t>
        </is>
      </c>
    </row>
    <row r="14">
      <c r="A14" s="5" t="inlineStr">
        <is>
          <t>SV011</t>
        </is>
      </c>
      <c r="B14" s="5" t="inlineStr">
        <is>
          <t>Estudio Electrofisiológico</t>
        </is>
      </c>
      <c r="C14" s="5" t="inlineStr">
        <is>
          <t>Diagnóstico Invasivo</t>
        </is>
      </c>
      <c r="D14" s="5" t="inlineStr">
        <is>
          <t>Media-Alta</t>
        </is>
      </c>
      <c r="E14" s="5" t="inlineStr">
        <is>
          <t>Sí</t>
        </is>
      </c>
      <c r="F14" s="5" t="inlineStr">
        <is>
          <t>Activo</t>
        </is>
      </c>
    </row>
    <row r="15">
      <c r="A15" s="5" t="inlineStr">
        <is>
          <t>SV012</t>
        </is>
      </c>
      <c r="B15" s="5" t="inlineStr">
        <is>
          <t>Cateterismo Cardíaco Derecho</t>
        </is>
      </c>
      <c r="C15" s="5" t="inlineStr">
        <is>
          <t>Diagnóstico Invasivo</t>
        </is>
      </c>
      <c r="D15" s="5" t="inlineStr">
        <is>
          <t>Media-Alta</t>
        </is>
      </c>
      <c r="E15" s="5" t="inlineStr">
        <is>
          <t>Sí</t>
        </is>
      </c>
      <c r="F15" s="5" t="inlineStr">
        <is>
          <t>Activo</t>
        </is>
      </c>
    </row>
    <row r="16">
      <c r="A16" s="5" t="inlineStr">
        <is>
          <t>SV013</t>
        </is>
      </c>
      <c r="B16" s="5" t="inlineStr">
        <is>
          <t>Cateterismo Cardíaco Izquierdo</t>
        </is>
      </c>
      <c r="C16" s="5" t="inlineStr">
        <is>
          <t>Diagnóstico Invasivo</t>
        </is>
      </c>
      <c r="D16" s="5" t="inlineStr">
        <is>
          <t>Media-Alta</t>
        </is>
      </c>
      <c r="E16" s="5" t="inlineStr">
        <is>
          <t>Sí</t>
        </is>
      </c>
      <c r="F16" s="5" t="inlineStr">
        <is>
          <t>Activo</t>
        </is>
      </c>
    </row>
    <row r="17">
      <c r="A17" s="5" t="inlineStr">
        <is>
          <t>SV014</t>
        </is>
      </c>
      <c r="B17" s="5" t="inlineStr">
        <is>
          <t>Estudio Hemodinámico Completo</t>
        </is>
      </c>
      <c r="C17" s="5" t="inlineStr">
        <is>
          <t>Diagnóstico Invasivo</t>
        </is>
      </c>
      <c r="D17" s="5" t="inlineStr">
        <is>
          <t>Media-Alta</t>
        </is>
      </c>
      <c r="E17" s="5" t="inlineStr">
        <is>
          <t>Sí</t>
        </is>
      </c>
      <c r="F17" s="5" t="inlineStr">
        <is>
          <t>Activo</t>
        </is>
      </c>
    </row>
    <row r="18">
      <c r="A18" s="5" t="inlineStr">
        <is>
          <t>SV015</t>
        </is>
      </c>
      <c r="B18" s="5" t="inlineStr">
        <is>
          <t>Biopsia Endomiocárdica</t>
        </is>
      </c>
      <c r="C18" s="5" t="inlineStr">
        <is>
          <t>Diagnóstico Invasivo</t>
        </is>
      </c>
      <c r="D18" s="5" t="inlineStr">
        <is>
          <t>Media-Alta</t>
        </is>
      </c>
      <c r="E18" s="5" t="inlineStr">
        <is>
          <t>Sí</t>
        </is>
      </c>
      <c r="F18" s="5" t="inlineStr">
        <is>
          <t>Activo</t>
        </is>
      </c>
    </row>
    <row r="19">
      <c r="A19" s="5" t="inlineStr">
        <is>
          <t>SV016</t>
        </is>
      </c>
      <c r="B19" s="5" t="inlineStr">
        <is>
          <t>Cardioversión Eléctrica</t>
        </is>
      </c>
      <c r="C19" s="5" t="inlineStr">
        <is>
          <t>Terapéutico</t>
        </is>
      </c>
      <c r="D19" s="5" t="inlineStr">
        <is>
          <t>Alta</t>
        </is>
      </c>
      <c r="E19" s="5" t="inlineStr">
        <is>
          <t>Sí</t>
        </is>
      </c>
      <c r="F19" s="5" t="inlineStr">
        <is>
          <t>Activo</t>
        </is>
      </c>
    </row>
    <row r="20">
      <c r="A20" s="5" t="inlineStr">
        <is>
          <t>SV017</t>
        </is>
      </c>
      <c r="B20" s="5" t="inlineStr">
        <is>
          <t>Implante Marcapasos</t>
        </is>
      </c>
      <c r="C20" s="5" t="inlineStr">
        <is>
          <t>Terapéutico</t>
        </is>
      </c>
      <c r="D20" s="5" t="inlineStr">
        <is>
          <t>Alta</t>
        </is>
      </c>
      <c r="E20" s="5" t="inlineStr">
        <is>
          <t>Sí</t>
        </is>
      </c>
      <c r="F20" s="5" t="inlineStr">
        <is>
          <t>Activo</t>
        </is>
      </c>
    </row>
    <row r="21">
      <c r="A21" s="5" t="inlineStr">
        <is>
          <t>SV018</t>
        </is>
      </c>
      <c r="B21" s="5" t="inlineStr">
        <is>
          <t>Angioplastia Coronaria</t>
        </is>
      </c>
      <c r="C21" s="5" t="inlineStr">
        <is>
          <t>Terapéutico</t>
        </is>
      </c>
      <c r="D21" s="5" t="inlineStr">
        <is>
          <t>Alta</t>
        </is>
      </c>
      <c r="E21" s="5" t="inlineStr">
        <is>
          <t>Sí</t>
        </is>
      </c>
      <c r="F21" s="5" t="inlineStr">
        <is>
          <t>Activo</t>
        </is>
      </c>
    </row>
    <row r="22">
      <c r="A22" s="5" t="inlineStr">
        <is>
          <t>SV019</t>
        </is>
      </c>
      <c r="B22" s="5" t="inlineStr">
        <is>
          <t>Ablación por Radiofrecuencia</t>
        </is>
      </c>
      <c r="C22" s="5" t="inlineStr">
        <is>
          <t>Terapéutico</t>
        </is>
      </c>
      <c r="D22" s="5" t="inlineStr">
        <is>
          <t>Alta</t>
        </is>
      </c>
      <c r="E22" s="5" t="inlineStr">
        <is>
          <t>Sí</t>
        </is>
      </c>
      <c r="F22" s="5" t="inlineStr">
        <is>
          <t>Activo</t>
        </is>
      </c>
    </row>
    <row r="23">
      <c r="A23" s="5" t="inlineStr">
        <is>
          <t>SV020</t>
        </is>
      </c>
      <c r="B23" s="5" t="inlineStr">
        <is>
          <t>Cierre de CIA</t>
        </is>
      </c>
      <c r="C23" s="5" t="inlineStr">
        <is>
          <t>Terapéutico</t>
        </is>
      </c>
      <c r="D23" s="5" t="inlineStr">
        <is>
          <t>Alta</t>
        </is>
      </c>
      <c r="E23" s="5" t="inlineStr">
        <is>
          <t>Sí</t>
        </is>
      </c>
      <c r="F23" s="5" t="inlineStr">
        <is>
          <t>Activo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3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ECUACIONES DE TIEMPO TDABC</t>
        </is>
      </c>
    </row>
    <row r="2">
      <c r="A2" s="22" t="inlineStr">
        <is>
          <t>Núcleo del modelo: Cada servicio consume tiempo de diferentes grupos ocupacionales</t>
        </is>
      </c>
    </row>
    <row r="3">
      <c r="A3" s="15" t="inlineStr">
        <is>
          <t>FACTOR DE COMPLEJIDAD: Ajusta el tiempo según dificultad del caso. 1.0=normal, 1.2-1.5=complejo, 2.0+=muy complejo. Es AJUSTABLE según su realidad.</t>
        </is>
      </c>
    </row>
    <row r="5">
      <c r="A5" s="10" t="inlineStr">
        <is>
          <t>Código Servicio</t>
        </is>
      </c>
      <c r="B5" s="10" t="inlineStr">
        <is>
          <t>Nombre Servicio</t>
        </is>
      </c>
      <c r="C5" s="10" t="inlineStr">
        <is>
          <t>Grupo Ocupacional</t>
        </is>
      </c>
      <c r="D5" s="10" t="inlineStr">
        <is>
          <t>Minutos Requeridos</t>
        </is>
      </c>
      <c r="E5" s="10" t="inlineStr">
        <is>
          <t>Factor Complejidad</t>
        </is>
      </c>
      <c r="F5" s="10" t="inlineStr">
        <is>
          <t>Minutos Ajustados</t>
        </is>
      </c>
    </row>
    <row r="6">
      <c r="A6" s="5" t="inlineStr">
        <is>
          <t>SV001</t>
        </is>
      </c>
      <c r="B6" s="5" t="inlineStr">
        <is>
          <t>Ecocardiograma Transtorácico</t>
        </is>
      </c>
      <c r="C6" s="5" t="inlineStr">
        <is>
          <t>Cardiólogo Especialista</t>
        </is>
      </c>
      <c r="D6" s="6" t="n">
        <v>15</v>
      </c>
      <c r="E6" s="6" t="n">
        <v>1</v>
      </c>
      <c r="F6" s="23">
        <f>D6*E6</f>
        <v/>
      </c>
    </row>
    <row r="7">
      <c r="A7" s="5" t="inlineStr">
        <is>
          <t>SV001</t>
        </is>
      </c>
      <c r="B7" s="5" t="inlineStr">
        <is>
          <t>Ecocardiograma Transtorácico</t>
        </is>
      </c>
      <c r="C7" s="5" t="inlineStr">
        <is>
          <t>Técnico Radiólogo</t>
        </is>
      </c>
      <c r="D7" s="6" t="n">
        <v>20</v>
      </c>
      <c r="E7" s="6" t="n">
        <v>1</v>
      </c>
      <c r="F7" s="23">
        <f>D7*E7</f>
        <v/>
      </c>
    </row>
    <row r="8">
      <c r="A8" s="5" t="inlineStr">
        <is>
          <t>SV001</t>
        </is>
      </c>
      <c r="B8" s="5" t="inlineStr">
        <is>
          <t>Ecocardiograma Transtorácico</t>
        </is>
      </c>
      <c r="C8" s="5" t="inlineStr">
        <is>
          <t>Auxiliar de Enfermería</t>
        </is>
      </c>
      <c r="D8" s="6" t="n">
        <v>10</v>
      </c>
      <c r="E8" s="6" t="n">
        <v>1</v>
      </c>
      <c r="F8" s="23">
        <f>D8*E8</f>
        <v/>
      </c>
    </row>
    <row r="9">
      <c r="A9" s="5" t="inlineStr">
        <is>
          <t>SV002</t>
        </is>
      </c>
      <c r="B9" s="5" t="inlineStr">
        <is>
          <t>Ecocardiograma Transesofágico</t>
        </is>
      </c>
      <c r="C9" s="5" t="inlineStr">
        <is>
          <t>Cardiólogo Especialista</t>
        </is>
      </c>
      <c r="D9" s="6" t="n">
        <v>30</v>
      </c>
      <c r="E9" s="6" t="n">
        <v>1.2</v>
      </c>
      <c r="F9" s="23">
        <f>D9*E9</f>
        <v/>
      </c>
    </row>
    <row r="10">
      <c r="A10" s="5" t="inlineStr">
        <is>
          <t>SV002</t>
        </is>
      </c>
      <c r="B10" s="5" t="inlineStr">
        <is>
          <t>Ecocardiograma Transesofágico</t>
        </is>
      </c>
      <c r="C10" s="5" t="inlineStr">
        <is>
          <t>Enfermero Especializado</t>
        </is>
      </c>
      <c r="D10" s="6" t="n">
        <v>25</v>
      </c>
      <c r="E10" s="6" t="n">
        <v>1</v>
      </c>
      <c r="F10" s="23">
        <f>D10*E10</f>
        <v/>
      </c>
    </row>
    <row r="11">
      <c r="A11" s="5" t="inlineStr">
        <is>
          <t>SV002</t>
        </is>
      </c>
      <c r="B11" s="5" t="inlineStr">
        <is>
          <t>Ecocardiograma Transesofágico</t>
        </is>
      </c>
      <c r="C11" s="5" t="inlineStr">
        <is>
          <t>Auxiliar de Enfermería</t>
        </is>
      </c>
      <c r="D11" s="6" t="n">
        <v>15</v>
      </c>
      <c r="E11" s="6" t="n">
        <v>1</v>
      </c>
      <c r="F11" s="23">
        <f>D11*E11</f>
        <v/>
      </c>
    </row>
    <row r="12">
      <c r="A12" s="5" t="inlineStr">
        <is>
          <t>SV003</t>
        </is>
      </c>
      <c r="B12" s="5" t="inlineStr">
        <is>
          <t>Holter 24 Horas</t>
        </is>
      </c>
      <c r="C12" s="5" t="inlineStr">
        <is>
          <t>Cardiólogo General</t>
        </is>
      </c>
      <c r="D12" s="6" t="n">
        <v>20</v>
      </c>
      <c r="E12" s="6" t="n">
        <v>1</v>
      </c>
      <c r="F12" s="23">
        <f>D12*E12</f>
        <v/>
      </c>
    </row>
    <row r="13">
      <c r="A13" s="5" t="inlineStr">
        <is>
          <t>SV003</t>
        </is>
      </c>
      <c r="B13" s="5" t="inlineStr">
        <is>
          <t>Holter 24 Horas</t>
        </is>
      </c>
      <c r="C13" s="5" t="inlineStr">
        <is>
          <t>Técnico Radiólogo</t>
        </is>
      </c>
      <c r="D13" s="6" t="n">
        <v>30</v>
      </c>
      <c r="E13" s="6" t="n">
        <v>1</v>
      </c>
      <c r="F13" s="23">
        <f>D13*E13</f>
        <v/>
      </c>
    </row>
    <row r="14">
      <c r="A14" s="5" t="inlineStr">
        <is>
          <t>SV003</t>
        </is>
      </c>
      <c r="B14" s="5" t="inlineStr">
        <is>
          <t>Holter 24 Horas</t>
        </is>
      </c>
      <c r="C14" s="5" t="inlineStr">
        <is>
          <t>Auxiliar de Enfermería</t>
        </is>
      </c>
      <c r="D14" s="6" t="n">
        <v>15</v>
      </c>
      <c r="E14" s="6" t="n">
        <v>1</v>
      </c>
      <c r="F14" s="23">
        <f>D14*E14</f>
        <v/>
      </c>
    </row>
    <row r="15">
      <c r="A15" s="5" t="inlineStr">
        <is>
          <t>SV004</t>
        </is>
      </c>
      <c r="B15" s="5" t="inlineStr">
        <is>
          <t>Holter 48 Horas</t>
        </is>
      </c>
      <c r="C15" s="5" t="inlineStr">
        <is>
          <t>Cardiólogo General</t>
        </is>
      </c>
      <c r="D15" s="6" t="n">
        <v>25</v>
      </c>
      <c r="E15" s="6" t="n">
        <v>1.1</v>
      </c>
      <c r="F15" s="23">
        <f>D15*E15</f>
        <v/>
      </c>
    </row>
    <row r="16">
      <c r="A16" s="5" t="inlineStr">
        <is>
          <t>SV004</t>
        </is>
      </c>
      <c r="B16" s="5" t="inlineStr">
        <is>
          <t>Holter 48 Horas</t>
        </is>
      </c>
      <c r="C16" s="5" t="inlineStr">
        <is>
          <t>Técnico Radiólogo</t>
        </is>
      </c>
      <c r="D16" s="6" t="n">
        <v>35</v>
      </c>
      <c r="E16" s="6" t="n">
        <v>1</v>
      </c>
      <c r="F16" s="23">
        <f>D16*E16</f>
        <v/>
      </c>
    </row>
    <row r="17">
      <c r="A17" s="5" t="inlineStr">
        <is>
          <t>SV004</t>
        </is>
      </c>
      <c r="B17" s="5" t="inlineStr">
        <is>
          <t>Holter 48 Horas</t>
        </is>
      </c>
      <c r="C17" s="5" t="inlineStr">
        <is>
          <t>Auxiliar de Enfermería</t>
        </is>
      </c>
      <c r="D17" s="6" t="n">
        <v>20</v>
      </c>
      <c r="E17" s="6" t="n">
        <v>1</v>
      </c>
      <c r="F17" s="23">
        <f>D17*E17</f>
        <v/>
      </c>
    </row>
    <row r="18">
      <c r="A18" s="5" t="inlineStr">
        <is>
          <t>SV005</t>
        </is>
      </c>
      <c r="B18" s="5" t="inlineStr">
        <is>
          <t>Prueba de Esfuerzo</t>
        </is>
      </c>
      <c r="C18" s="5" t="inlineStr">
        <is>
          <t>Cardiólogo General</t>
        </is>
      </c>
      <c r="D18" s="6" t="n">
        <v>30</v>
      </c>
      <c r="E18" s="6" t="n">
        <v>1</v>
      </c>
      <c r="F18" s="23">
        <f>D18*E18</f>
        <v/>
      </c>
    </row>
    <row r="19">
      <c r="A19" s="5" t="inlineStr">
        <is>
          <t>SV005</t>
        </is>
      </c>
      <c r="B19" s="5" t="inlineStr">
        <is>
          <t>Prueba de Esfuerzo</t>
        </is>
      </c>
      <c r="C19" s="5" t="inlineStr">
        <is>
          <t>Enfermero Especializado</t>
        </is>
      </c>
      <c r="D19" s="6" t="n">
        <v>25</v>
      </c>
      <c r="E19" s="6" t="n">
        <v>1</v>
      </c>
      <c r="F19" s="23">
        <f>D19*E19</f>
        <v/>
      </c>
    </row>
    <row r="20">
      <c r="A20" s="5" t="inlineStr">
        <is>
          <t>SV005</t>
        </is>
      </c>
      <c r="B20" s="5" t="inlineStr">
        <is>
          <t>Prueba de Esfuerzo</t>
        </is>
      </c>
      <c r="C20" s="5" t="inlineStr">
        <is>
          <t>Técnico Radiólogo</t>
        </is>
      </c>
      <c r="D20" s="6" t="n">
        <v>15</v>
      </c>
      <c r="E20" s="6" t="n">
        <v>1</v>
      </c>
      <c r="F20" s="23">
        <f>D20*E20</f>
        <v/>
      </c>
    </row>
    <row r="21">
      <c r="A21" s="5" t="inlineStr">
        <is>
          <t>SV006</t>
        </is>
      </c>
      <c r="B21" s="5" t="inlineStr">
        <is>
          <t>Electrocardiograma</t>
        </is>
      </c>
      <c r="C21" s="5" t="inlineStr">
        <is>
          <t>Técnico Radiólogo</t>
        </is>
      </c>
      <c r="D21" s="6" t="n">
        <v>10</v>
      </c>
      <c r="E21" s="6" t="n">
        <v>1</v>
      </c>
      <c r="F21" s="23">
        <f>D21*E21</f>
        <v/>
      </c>
    </row>
    <row r="22">
      <c r="A22" s="5" t="inlineStr">
        <is>
          <t>SV006</t>
        </is>
      </c>
      <c r="B22" s="5" t="inlineStr">
        <is>
          <t>Electrocardiograma</t>
        </is>
      </c>
      <c r="C22" s="5" t="inlineStr">
        <is>
          <t>Auxiliar de Enfermería</t>
        </is>
      </c>
      <c r="D22" s="6" t="n">
        <v>5</v>
      </c>
      <c r="E22" s="6" t="n">
        <v>1</v>
      </c>
      <c r="F22" s="23">
        <f>D22*E22</f>
        <v/>
      </c>
    </row>
    <row r="23">
      <c r="A23" s="5" t="inlineStr">
        <is>
          <t>SV007</t>
        </is>
      </c>
      <c r="B23" s="5" t="inlineStr">
        <is>
          <t>MAPA 24 Horas</t>
        </is>
      </c>
      <c r="C23" s="5" t="inlineStr">
        <is>
          <t>Cardiólogo General</t>
        </is>
      </c>
      <c r="D23" s="6" t="n">
        <v>20</v>
      </c>
      <c r="E23" s="6" t="n">
        <v>1</v>
      </c>
      <c r="F23" s="23">
        <f>D23*E23</f>
        <v/>
      </c>
    </row>
    <row r="24">
      <c r="A24" s="5" t="inlineStr">
        <is>
          <t>SV007</t>
        </is>
      </c>
      <c r="B24" s="5" t="inlineStr">
        <is>
          <t>MAPA 24 Horas</t>
        </is>
      </c>
      <c r="C24" s="5" t="inlineStr">
        <is>
          <t>Enfermero</t>
        </is>
      </c>
      <c r="D24" s="6" t="n">
        <v>25</v>
      </c>
      <c r="E24" s="6" t="n">
        <v>1</v>
      </c>
      <c r="F24" s="23">
        <f>D24*E24</f>
        <v/>
      </c>
    </row>
    <row r="25">
      <c r="A25" s="5" t="inlineStr">
        <is>
          <t>SV007</t>
        </is>
      </c>
      <c r="B25" s="5" t="inlineStr">
        <is>
          <t>MAPA 24 Horas</t>
        </is>
      </c>
      <c r="C25" s="5" t="inlineStr">
        <is>
          <t>Auxiliar de Enfermería</t>
        </is>
      </c>
      <c r="D25" s="6" t="n">
        <v>15</v>
      </c>
      <c r="E25" s="6" t="n">
        <v>1</v>
      </c>
      <c r="F25" s="23">
        <f>D25*E25</f>
        <v/>
      </c>
    </row>
    <row r="26">
      <c r="A26" s="5" t="inlineStr">
        <is>
          <t>SV008</t>
        </is>
      </c>
      <c r="B26" s="5" t="inlineStr">
        <is>
          <t>Ecocardiograma Doppler</t>
        </is>
      </c>
      <c r="C26" s="5" t="inlineStr">
        <is>
          <t>Cardiólogo Especialista</t>
        </is>
      </c>
      <c r="D26" s="6" t="n">
        <v>20</v>
      </c>
      <c r="E26" s="6" t="n">
        <v>1</v>
      </c>
      <c r="F26" s="23">
        <f>D26*E26</f>
        <v/>
      </c>
    </row>
    <row r="27">
      <c r="A27" s="5" t="inlineStr">
        <is>
          <t>SV008</t>
        </is>
      </c>
      <c r="B27" s="5" t="inlineStr">
        <is>
          <t>Ecocardiograma Doppler</t>
        </is>
      </c>
      <c r="C27" s="5" t="inlineStr">
        <is>
          <t>Técnico Radiólogo</t>
        </is>
      </c>
      <c r="D27" s="6" t="n">
        <v>25</v>
      </c>
      <c r="E27" s="6" t="n">
        <v>1</v>
      </c>
      <c r="F27" s="23">
        <f>D27*E27</f>
        <v/>
      </c>
    </row>
    <row r="28">
      <c r="A28" s="5" t="inlineStr">
        <is>
          <t>SV008</t>
        </is>
      </c>
      <c r="B28" s="5" t="inlineStr">
        <is>
          <t>Ecocardiograma Doppler</t>
        </is>
      </c>
      <c r="C28" s="5" t="inlineStr">
        <is>
          <t>Auxiliar de Enfermería</t>
        </is>
      </c>
      <c r="D28" s="6" t="n">
        <v>10</v>
      </c>
      <c r="E28" s="6" t="n">
        <v>1</v>
      </c>
      <c r="F28" s="23">
        <f>D28*E28</f>
        <v/>
      </c>
    </row>
    <row r="29">
      <c r="A29" s="5" t="inlineStr">
        <is>
          <t>SV009</t>
        </is>
      </c>
      <c r="B29" s="5" t="inlineStr">
        <is>
          <t>Ecocardiograma de Estrés</t>
        </is>
      </c>
      <c r="C29" s="5" t="inlineStr">
        <is>
          <t>Cardiólogo Especialista</t>
        </is>
      </c>
      <c r="D29" s="6" t="n">
        <v>35</v>
      </c>
      <c r="E29" s="6" t="n">
        <v>1.2</v>
      </c>
      <c r="F29" s="23">
        <f>D29*E29</f>
        <v/>
      </c>
    </row>
    <row r="30">
      <c r="A30" s="5" t="inlineStr">
        <is>
          <t>SV009</t>
        </is>
      </c>
      <c r="B30" s="5" t="inlineStr">
        <is>
          <t>Ecocardiograma de Estrés</t>
        </is>
      </c>
      <c r="C30" s="5" t="inlineStr">
        <is>
          <t>Enfermero Especializado</t>
        </is>
      </c>
      <c r="D30" s="6" t="n">
        <v>30</v>
      </c>
      <c r="E30" s="6" t="n">
        <v>1</v>
      </c>
      <c r="F30" s="23">
        <f>D30*E30</f>
        <v/>
      </c>
    </row>
    <row r="31">
      <c r="A31" s="5" t="inlineStr">
        <is>
          <t>SV009</t>
        </is>
      </c>
      <c r="B31" s="5" t="inlineStr">
        <is>
          <t>Ecocardiograma de Estrés</t>
        </is>
      </c>
      <c r="C31" s="5" t="inlineStr">
        <is>
          <t>Técnico Radiólogo</t>
        </is>
      </c>
      <c r="D31" s="6" t="n">
        <v>20</v>
      </c>
      <c r="E31" s="6" t="n">
        <v>1</v>
      </c>
      <c r="F31" s="23">
        <f>D31*E31</f>
        <v/>
      </c>
    </row>
    <row r="32">
      <c r="A32" s="5" t="inlineStr">
        <is>
          <t>SV010</t>
        </is>
      </c>
      <c r="B32" s="5" t="inlineStr">
        <is>
          <t>Tilt Test</t>
        </is>
      </c>
      <c r="C32" s="5" t="inlineStr">
        <is>
          <t>Cardiólogo General</t>
        </is>
      </c>
      <c r="D32" s="6" t="n">
        <v>40</v>
      </c>
      <c r="E32" s="6" t="n">
        <v>1</v>
      </c>
      <c r="F32" s="23">
        <f>D32*E32</f>
        <v/>
      </c>
    </row>
    <row r="33">
      <c r="A33" s="5" t="inlineStr">
        <is>
          <t>SV010</t>
        </is>
      </c>
      <c r="B33" s="5" t="inlineStr">
        <is>
          <t>Tilt Test</t>
        </is>
      </c>
      <c r="C33" s="5" t="inlineStr">
        <is>
          <t>Enfermero Especializado</t>
        </is>
      </c>
      <c r="D33" s="6" t="n">
        <v>45</v>
      </c>
      <c r="E33" s="6" t="n">
        <v>1</v>
      </c>
      <c r="F33" s="23">
        <f>D33*E33</f>
        <v/>
      </c>
    </row>
    <row r="34">
      <c r="A34" s="5" t="inlineStr">
        <is>
          <t>SV010</t>
        </is>
      </c>
      <c r="B34" s="5" t="inlineStr">
        <is>
          <t>Tilt Test</t>
        </is>
      </c>
      <c r="C34" s="5" t="inlineStr">
        <is>
          <t>Auxiliar de Enfermería</t>
        </is>
      </c>
      <c r="D34" s="6" t="n">
        <v>20</v>
      </c>
      <c r="E34" s="6" t="n">
        <v>1</v>
      </c>
      <c r="F34" s="23">
        <f>D34*E34</f>
        <v/>
      </c>
    </row>
    <row r="35">
      <c r="A35" s="5" t="inlineStr">
        <is>
          <t>SV011</t>
        </is>
      </c>
      <c r="B35" s="5" t="inlineStr">
        <is>
          <t>Estudio Electrofisiológico</t>
        </is>
      </c>
      <c r="C35" s="5" t="inlineStr">
        <is>
          <t>Cardiólogo Especialista</t>
        </is>
      </c>
      <c r="D35" s="6" t="n">
        <v>90</v>
      </c>
      <c r="E35" s="6" t="n">
        <v>1.5</v>
      </c>
      <c r="F35" s="23">
        <f>D35*E35</f>
        <v/>
      </c>
    </row>
    <row r="36">
      <c r="A36" s="5" t="inlineStr">
        <is>
          <t>SV011</t>
        </is>
      </c>
      <c r="B36" s="5" t="inlineStr">
        <is>
          <t>Estudio Electrofisiológico</t>
        </is>
      </c>
      <c r="C36" s="5" t="inlineStr">
        <is>
          <t>Enfermero Especializado</t>
        </is>
      </c>
      <c r="D36" s="6" t="n">
        <v>60</v>
      </c>
      <c r="E36" s="6" t="n">
        <v>1.2</v>
      </c>
      <c r="F36" s="23">
        <f>D36*E36</f>
        <v/>
      </c>
    </row>
    <row r="37">
      <c r="A37" s="5" t="inlineStr">
        <is>
          <t>SV011</t>
        </is>
      </c>
      <c r="B37" s="5" t="inlineStr">
        <is>
          <t>Estudio Electrofisiológico</t>
        </is>
      </c>
      <c r="C37" s="5" t="inlineStr">
        <is>
          <t>Técnico Radiólogo</t>
        </is>
      </c>
      <c r="D37" s="6" t="n">
        <v>45</v>
      </c>
      <c r="E37" s="6" t="n">
        <v>1</v>
      </c>
      <c r="F37" s="23">
        <f>D37*E37</f>
        <v/>
      </c>
    </row>
    <row r="38">
      <c r="A38" s="5" t="inlineStr">
        <is>
          <t>SV012</t>
        </is>
      </c>
      <c r="B38" s="5" t="inlineStr">
        <is>
          <t>Cardioversión Eléctrica</t>
        </is>
      </c>
      <c r="C38" s="5" t="inlineStr">
        <is>
          <t>Cardiólogo Especialista</t>
        </is>
      </c>
      <c r="D38" s="6" t="n">
        <v>45</v>
      </c>
      <c r="E38" s="6" t="n">
        <v>1.3</v>
      </c>
      <c r="F38" s="23">
        <f>D38*E38</f>
        <v/>
      </c>
    </row>
    <row r="39">
      <c r="A39" s="5" t="inlineStr">
        <is>
          <t>SV012</t>
        </is>
      </c>
      <c r="B39" s="5" t="inlineStr">
        <is>
          <t>Cardioversión Eléctrica</t>
        </is>
      </c>
      <c r="C39" s="5" t="inlineStr">
        <is>
          <t>Enfermero Especializado</t>
        </is>
      </c>
      <c r="D39" s="6" t="n">
        <v>30</v>
      </c>
      <c r="E39" s="6" t="n">
        <v>1</v>
      </c>
      <c r="F39" s="23">
        <f>D39*E39</f>
        <v/>
      </c>
    </row>
    <row r="40">
      <c r="A40" s="5" t="inlineStr">
        <is>
          <t>SV012</t>
        </is>
      </c>
      <c r="B40" s="5" t="inlineStr">
        <is>
          <t>Cardioversión Eléctrica</t>
        </is>
      </c>
      <c r="C40" s="5" t="inlineStr">
        <is>
          <t>Auxiliar de Enfermería</t>
        </is>
      </c>
      <c r="D40" s="6" t="n">
        <v>20</v>
      </c>
      <c r="E40" s="6" t="n">
        <v>1</v>
      </c>
      <c r="F40" s="23">
        <f>D40*E40</f>
        <v/>
      </c>
    </row>
    <row r="41">
      <c r="A41" s="5" t="inlineStr">
        <is>
          <t>SV013</t>
        </is>
      </c>
      <c r="B41" s="5" t="inlineStr">
        <is>
          <t>Implante Marcapasos</t>
        </is>
      </c>
      <c r="C41" s="5" t="inlineStr">
        <is>
          <t>Cardiólogo Especialista</t>
        </is>
      </c>
      <c r="D41" s="6" t="n">
        <v>120</v>
      </c>
      <c r="E41" s="6" t="n">
        <v>1.8</v>
      </c>
      <c r="F41" s="23">
        <f>D41*E41</f>
        <v/>
      </c>
    </row>
    <row r="42">
      <c r="A42" s="5" t="inlineStr">
        <is>
          <t>SV013</t>
        </is>
      </c>
      <c r="B42" s="5" t="inlineStr">
        <is>
          <t>Implante Marcapasos</t>
        </is>
      </c>
      <c r="C42" s="5" t="inlineStr">
        <is>
          <t>Enfermero Especializado</t>
        </is>
      </c>
      <c r="D42" s="6" t="n">
        <v>90</v>
      </c>
      <c r="E42" s="6" t="n">
        <v>1.3</v>
      </c>
      <c r="F42" s="23">
        <f>D42*E42</f>
        <v/>
      </c>
    </row>
    <row r="43">
      <c r="A43" s="5" t="inlineStr">
        <is>
          <t>SV013</t>
        </is>
      </c>
      <c r="B43" s="5" t="inlineStr">
        <is>
          <t>Implante Marcapasos</t>
        </is>
      </c>
      <c r="C43" s="5" t="inlineStr">
        <is>
          <t>Técnico Radiólogo</t>
        </is>
      </c>
      <c r="D43" s="6" t="n">
        <v>60</v>
      </c>
      <c r="E43" s="6" t="n">
        <v>1</v>
      </c>
      <c r="F43" s="23">
        <f>D43*E43</f>
        <v/>
      </c>
    </row>
    <row r="44">
      <c r="A44" s="5" t="inlineStr">
        <is>
          <t>SV013</t>
        </is>
      </c>
      <c r="B44" s="5" t="inlineStr">
        <is>
          <t>Implante Marcapasos</t>
        </is>
      </c>
      <c r="C44" s="5" t="inlineStr">
        <is>
          <t>Auxiliar de Enfermería</t>
        </is>
      </c>
      <c r="D44" s="6" t="n">
        <v>30</v>
      </c>
      <c r="E44" s="6" t="n">
        <v>1</v>
      </c>
      <c r="F44" s="23">
        <f>D44*E44</f>
        <v/>
      </c>
    </row>
    <row r="45">
      <c r="A45" s="5" t="inlineStr">
        <is>
          <t>SV014</t>
        </is>
      </c>
      <c r="B45" s="5" t="inlineStr">
        <is>
          <t>Cateterismo Cardíaco Derecho</t>
        </is>
      </c>
      <c r="C45" s="5" t="inlineStr">
        <is>
          <t>Cardiólogo Especialista</t>
        </is>
      </c>
      <c r="D45" s="6" t="n">
        <v>60</v>
      </c>
      <c r="E45" s="6" t="n">
        <v>1.4</v>
      </c>
      <c r="F45" s="23">
        <f>D45*E45</f>
        <v/>
      </c>
    </row>
    <row r="46">
      <c r="A46" s="5" t="inlineStr">
        <is>
          <t>SV014</t>
        </is>
      </c>
      <c r="B46" s="5" t="inlineStr">
        <is>
          <t>Cateterismo Cardíaco Derecho</t>
        </is>
      </c>
      <c r="C46" s="5" t="inlineStr">
        <is>
          <t>Enfermero Especializado</t>
        </is>
      </c>
      <c r="D46" s="6" t="n">
        <v>50</v>
      </c>
      <c r="E46" s="6" t="n">
        <v>1.2</v>
      </c>
      <c r="F46" s="23">
        <f>D46*E46</f>
        <v/>
      </c>
    </row>
    <row r="47">
      <c r="A47" s="5" t="inlineStr">
        <is>
          <t>SV014</t>
        </is>
      </c>
      <c r="B47" s="5" t="inlineStr">
        <is>
          <t>Cateterismo Cardíaco Derecho</t>
        </is>
      </c>
      <c r="C47" s="5" t="inlineStr">
        <is>
          <t>Técnico Radiólogo</t>
        </is>
      </c>
      <c r="D47" s="6" t="n">
        <v>40</v>
      </c>
      <c r="E47" s="6" t="n">
        <v>1</v>
      </c>
      <c r="F47" s="23">
        <f>D47*E47</f>
        <v/>
      </c>
    </row>
    <row r="48">
      <c r="A48" s="5" t="inlineStr">
        <is>
          <t>SV015</t>
        </is>
      </c>
      <c r="B48" s="5" t="inlineStr">
        <is>
          <t>Cateterismo Cardíaco Izquierdo</t>
        </is>
      </c>
      <c r="C48" s="5" t="inlineStr">
        <is>
          <t>Cardiólogo Especialista</t>
        </is>
      </c>
      <c r="D48" s="6" t="n">
        <v>75</v>
      </c>
      <c r="E48" s="6" t="n">
        <v>1.5</v>
      </c>
      <c r="F48" s="23">
        <f>D48*E48</f>
        <v/>
      </c>
    </row>
    <row r="49">
      <c r="A49" s="5" t="inlineStr">
        <is>
          <t>SV015</t>
        </is>
      </c>
      <c r="B49" s="5" t="inlineStr">
        <is>
          <t>Cateterismo Cardíaco Izquierdo</t>
        </is>
      </c>
      <c r="C49" s="5" t="inlineStr">
        <is>
          <t>Enfermero Especializado</t>
        </is>
      </c>
      <c r="D49" s="6" t="n">
        <v>60</v>
      </c>
      <c r="E49" s="6" t="n">
        <v>1.2</v>
      </c>
      <c r="F49" s="23">
        <f>D49*E49</f>
        <v/>
      </c>
    </row>
    <row r="50">
      <c r="A50" s="5" t="inlineStr">
        <is>
          <t>SV015</t>
        </is>
      </c>
      <c r="B50" s="5" t="inlineStr">
        <is>
          <t>Cateterismo Cardíaco Izquierdo</t>
        </is>
      </c>
      <c r="C50" s="5" t="inlineStr">
        <is>
          <t>Técnico Radiólogo</t>
        </is>
      </c>
      <c r="D50" s="6" t="n">
        <v>45</v>
      </c>
      <c r="E50" s="6" t="n">
        <v>1</v>
      </c>
      <c r="F50" s="23">
        <f>D50*E50</f>
        <v/>
      </c>
    </row>
    <row r="51">
      <c r="A51" s="5" t="inlineStr">
        <is>
          <t>SV016</t>
        </is>
      </c>
      <c r="B51" s="5" t="inlineStr">
        <is>
          <t>Angioplastia Coronaria</t>
        </is>
      </c>
      <c r="C51" s="5" t="inlineStr">
        <is>
          <t>Cardiólogo Especialista</t>
        </is>
      </c>
      <c r="D51" s="6" t="n">
        <v>150</v>
      </c>
      <c r="E51" s="6" t="n">
        <v>2</v>
      </c>
      <c r="F51" s="23">
        <f>D51*E51</f>
        <v/>
      </c>
    </row>
    <row r="52">
      <c r="A52" s="5" t="inlineStr">
        <is>
          <t>SV016</t>
        </is>
      </c>
      <c r="B52" s="5" t="inlineStr">
        <is>
          <t>Angioplastia Coronaria</t>
        </is>
      </c>
      <c r="C52" s="5" t="inlineStr">
        <is>
          <t>Cardiólogo General</t>
        </is>
      </c>
      <c r="D52" s="6" t="n">
        <v>90</v>
      </c>
      <c r="E52" s="6" t="n">
        <v>1.5</v>
      </c>
      <c r="F52" s="23">
        <f>D52*E52</f>
        <v/>
      </c>
    </row>
    <row r="53">
      <c r="A53" s="5" t="inlineStr">
        <is>
          <t>SV016</t>
        </is>
      </c>
      <c r="B53" s="5" t="inlineStr">
        <is>
          <t>Angioplastia Coronaria</t>
        </is>
      </c>
      <c r="C53" s="5" t="inlineStr">
        <is>
          <t>Enfermero Especializado</t>
        </is>
      </c>
      <c r="D53" s="6" t="n">
        <v>120</v>
      </c>
      <c r="E53" s="6" t="n">
        <v>1.3</v>
      </c>
      <c r="F53" s="23">
        <f>D53*E53</f>
        <v/>
      </c>
    </row>
    <row r="54">
      <c r="A54" s="5" t="inlineStr">
        <is>
          <t>SV016</t>
        </is>
      </c>
      <c r="B54" s="5" t="inlineStr">
        <is>
          <t>Angioplastia Coronaria</t>
        </is>
      </c>
      <c r="C54" s="5" t="inlineStr">
        <is>
          <t>Técnico Radiólogo</t>
        </is>
      </c>
      <c r="D54" s="6" t="n">
        <v>90</v>
      </c>
      <c r="E54" s="6" t="n">
        <v>1</v>
      </c>
      <c r="F54" s="23">
        <f>D54*E54</f>
        <v/>
      </c>
    </row>
    <row r="55">
      <c r="A55" s="5" t="inlineStr">
        <is>
          <t>SV017</t>
        </is>
      </c>
      <c r="B55" s="5" t="inlineStr">
        <is>
          <t>Ablación por Radiofrecuencia</t>
        </is>
      </c>
      <c r="C55" s="5" t="inlineStr">
        <is>
          <t>Cardiólogo Especialista</t>
        </is>
      </c>
      <c r="D55" s="6" t="n">
        <v>180</v>
      </c>
      <c r="E55" s="6" t="n">
        <v>2.2</v>
      </c>
      <c r="F55" s="23">
        <f>D55*E55</f>
        <v/>
      </c>
    </row>
    <row r="56">
      <c r="A56" s="5" t="inlineStr">
        <is>
          <t>SV017</t>
        </is>
      </c>
      <c r="B56" s="5" t="inlineStr">
        <is>
          <t>Ablación por Radiofrecuencia</t>
        </is>
      </c>
      <c r="C56" s="5" t="inlineStr">
        <is>
          <t>Enfermero Especializado</t>
        </is>
      </c>
      <c r="D56" s="6" t="n">
        <v>150</v>
      </c>
      <c r="E56" s="6" t="n">
        <v>1.5</v>
      </c>
      <c r="F56" s="23">
        <f>D56*E56</f>
        <v/>
      </c>
    </row>
    <row r="57">
      <c r="A57" s="5" t="inlineStr">
        <is>
          <t>SV017</t>
        </is>
      </c>
      <c r="B57" s="5" t="inlineStr">
        <is>
          <t>Ablación por Radiofrecuencia</t>
        </is>
      </c>
      <c r="C57" s="5" t="inlineStr">
        <is>
          <t>Técnico Radiólogo</t>
        </is>
      </c>
      <c r="D57" s="6" t="n">
        <v>120</v>
      </c>
      <c r="E57" s="6" t="n">
        <v>1.2</v>
      </c>
      <c r="F57" s="23">
        <f>D57*E57</f>
        <v/>
      </c>
    </row>
    <row r="58">
      <c r="A58" s="5" t="inlineStr">
        <is>
          <t>SV018</t>
        </is>
      </c>
      <c r="B58" s="5" t="inlineStr">
        <is>
          <t>Cierre de CIA</t>
        </is>
      </c>
      <c r="C58" s="5" t="inlineStr">
        <is>
          <t>Cardiólogo Especialista</t>
        </is>
      </c>
      <c r="D58" s="6" t="n">
        <v>200</v>
      </c>
      <c r="E58" s="6" t="n">
        <v>2.5</v>
      </c>
      <c r="F58" s="23">
        <f>D58*E58</f>
        <v/>
      </c>
    </row>
    <row r="59">
      <c r="A59" s="5" t="inlineStr">
        <is>
          <t>SV018</t>
        </is>
      </c>
      <c r="B59" s="5" t="inlineStr">
        <is>
          <t>Cierre de CIA</t>
        </is>
      </c>
      <c r="C59" s="5" t="inlineStr">
        <is>
          <t>Cardiólogo General</t>
        </is>
      </c>
      <c r="D59" s="6" t="n">
        <v>120</v>
      </c>
      <c r="E59" s="6" t="n">
        <v>1.5</v>
      </c>
      <c r="F59" s="23">
        <f>D59*E59</f>
        <v/>
      </c>
    </row>
    <row r="60">
      <c r="A60" s="5" t="inlineStr">
        <is>
          <t>SV018</t>
        </is>
      </c>
      <c r="B60" s="5" t="inlineStr">
        <is>
          <t>Cierre de CIA</t>
        </is>
      </c>
      <c r="C60" s="5" t="inlineStr">
        <is>
          <t>Enfermero Especializado</t>
        </is>
      </c>
      <c r="D60" s="6" t="n">
        <v>180</v>
      </c>
      <c r="E60" s="6" t="n">
        <v>1.5</v>
      </c>
      <c r="F60" s="23">
        <f>D60*E60</f>
        <v/>
      </c>
    </row>
    <row r="61">
      <c r="A61" s="5" t="inlineStr">
        <is>
          <t>SV018</t>
        </is>
      </c>
      <c r="B61" s="5" t="inlineStr">
        <is>
          <t>Cierre de CIA</t>
        </is>
      </c>
      <c r="C61" s="5" t="inlineStr">
        <is>
          <t>Técnico Radiólogo</t>
        </is>
      </c>
      <c r="D61" s="6" t="n">
        <v>150</v>
      </c>
      <c r="E61" s="6" t="n">
        <v>1.3</v>
      </c>
      <c r="F61" s="23">
        <f>D61*E61</f>
        <v/>
      </c>
    </row>
    <row r="62">
      <c r="A62" s="5" t="inlineStr">
        <is>
          <t>SV019</t>
        </is>
      </c>
      <c r="B62" s="5" t="inlineStr">
        <is>
          <t>Estudio Hemodinámico Completo</t>
        </is>
      </c>
      <c r="C62" s="5" t="inlineStr">
        <is>
          <t>Cardiólogo Especialista</t>
        </is>
      </c>
      <c r="D62" s="6" t="n">
        <v>100</v>
      </c>
      <c r="E62" s="6" t="n">
        <v>1.6</v>
      </c>
      <c r="F62" s="23">
        <f>D62*E62</f>
        <v/>
      </c>
    </row>
    <row r="63">
      <c r="A63" s="5" t="inlineStr">
        <is>
          <t>SV019</t>
        </is>
      </c>
      <c r="B63" s="5" t="inlineStr">
        <is>
          <t>Estudio Hemodinámico Completo</t>
        </is>
      </c>
      <c r="C63" s="5" t="inlineStr">
        <is>
          <t>Enfermero Especializado</t>
        </is>
      </c>
      <c r="D63" s="6" t="n">
        <v>80</v>
      </c>
      <c r="E63" s="6" t="n">
        <v>1.3</v>
      </c>
      <c r="F63" s="23">
        <f>D63*E63</f>
        <v/>
      </c>
    </row>
    <row r="64">
      <c r="A64" s="5" t="inlineStr">
        <is>
          <t>SV019</t>
        </is>
      </c>
      <c r="B64" s="5" t="inlineStr">
        <is>
          <t>Estudio Hemodinámico Completo</t>
        </is>
      </c>
      <c r="C64" s="5" t="inlineStr">
        <is>
          <t>Técnico Radiólogo</t>
        </is>
      </c>
      <c r="D64" s="6" t="n">
        <v>60</v>
      </c>
      <c r="E64" s="6" t="n">
        <v>1</v>
      </c>
      <c r="F64" s="23">
        <f>D64*E64</f>
        <v/>
      </c>
    </row>
    <row r="65">
      <c r="A65" s="5" t="inlineStr">
        <is>
          <t>SV020</t>
        </is>
      </c>
      <c r="B65" s="5" t="inlineStr">
        <is>
          <t>Biopsia Endomiocárdica</t>
        </is>
      </c>
      <c r="C65" s="5" t="inlineStr">
        <is>
          <t>Cardiólogo Especialista</t>
        </is>
      </c>
      <c r="D65" s="6" t="n">
        <v>90</v>
      </c>
      <c r="E65" s="6" t="n">
        <v>1.7</v>
      </c>
      <c r="F65" s="23">
        <f>D65*E65</f>
        <v/>
      </c>
    </row>
    <row r="66">
      <c r="A66" s="5" t="inlineStr">
        <is>
          <t>SV020</t>
        </is>
      </c>
      <c r="B66" s="5" t="inlineStr">
        <is>
          <t>Biopsia Endomiocárdica</t>
        </is>
      </c>
      <c r="C66" s="5" t="inlineStr">
        <is>
          <t>Enfermero Especializado</t>
        </is>
      </c>
      <c r="D66" s="6" t="n">
        <v>70</v>
      </c>
      <c r="E66" s="6" t="n">
        <v>1.3</v>
      </c>
      <c r="F66" s="23">
        <f>D66*E66</f>
        <v/>
      </c>
    </row>
    <row r="67">
      <c r="A67" s="5" t="inlineStr">
        <is>
          <t>SV020</t>
        </is>
      </c>
      <c r="B67" s="5" t="inlineStr">
        <is>
          <t>Biopsia Endomiocárdica</t>
        </is>
      </c>
      <c r="C67" s="5" t="inlineStr">
        <is>
          <t>Técnico Radiólogo</t>
        </is>
      </c>
      <c r="D67" s="6" t="n">
        <v>50</v>
      </c>
      <c r="E67" s="6" t="n">
        <v>1</v>
      </c>
      <c r="F67" s="23">
        <f>D67*E67</f>
        <v/>
      </c>
    </row>
    <row r="68">
      <c r="A68" s="5" t="inlineStr">
        <is>
          <t>SV020</t>
        </is>
      </c>
      <c r="B68" s="5" t="inlineStr">
        <is>
          <t>Biopsia Endomiocárdica</t>
        </is>
      </c>
      <c r="C68" s="5" t="inlineStr">
        <is>
          <t>Auxiliar de Enfermería</t>
        </is>
      </c>
      <c r="D68" s="6" t="n">
        <v>30</v>
      </c>
      <c r="E68" s="6" t="n">
        <v>1</v>
      </c>
      <c r="F68" s="23">
        <f>D68*E68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35" customWidth="1" min="3" max="3"/>
    <col width="12" customWidth="1" min="4" max="4"/>
    <col width="18" customWidth="1" min="5" max="5"/>
    <col width="20" customWidth="1" min="6" max="6"/>
  </cols>
  <sheetData>
    <row r="1">
      <c r="A1" s="9" t="inlineStr">
        <is>
          <t>INSUMOS DIRECTOS POR SERVICIO</t>
        </is>
      </c>
    </row>
    <row r="3">
      <c r="A3" s="10" t="inlineStr">
        <is>
          <t>Código Servicio</t>
        </is>
      </c>
      <c r="B3" s="10" t="inlineStr">
        <is>
          <t>Nombre Servicio</t>
        </is>
      </c>
      <c r="C3" s="10" t="inlineStr">
        <is>
          <t>Tipo Insumo</t>
        </is>
      </c>
      <c r="D3" s="10" t="inlineStr">
        <is>
          <t>Cantidad</t>
        </is>
      </c>
      <c r="E3" s="10" t="inlineStr">
        <is>
          <t>Costo Unitario</t>
        </is>
      </c>
      <c r="F3" s="10" t="inlineStr">
        <is>
          <t>Costo Total Insumo</t>
        </is>
      </c>
    </row>
    <row r="4">
      <c r="A4" s="5" t="inlineStr">
        <is>
          <t>SV002</t>
        </is>
      </c>
      <c r="B4" s="5" t="inlineStr">
        <is>
          <t>Ecocardiograma Transesofágico</t>
        </is>
      </c>
      <c r="C4" s="5" t="inlineStr">
        <is>
          <t>Gel conductor</t>
        </is>
      </c>
      <c r="D4" s="6" t="n">
        <v>1</v>
      </c>
      <c r="E4" s="11" t="n">
        <v>5000</v>
      </c>
      <c r="F4" s="12">
        <f>D4*E4</f>
        <v/>
      </c>
    </row>
    <row r="5">
      <c r="A5" s="5" t="inlineStr">
        <is>
          <t>SV002</t>
        </is>
      </c>
      <c r="B5" s="5" t="inlineStr">
        <is>
          <t>Ecocardiograma Transesofágico</t>
        </is>
      </c>
      <c r="C5" s="5" t="inlineStr">
        <is>
          <t>Sonda transesofágica (uso)</t>
        </is>
      </c>
      <c r="D5" s="6" t="n">
        <v>1</v>
      </c>
      <c r="E5" s="11" t="n">
        <v>80000</v>
      </c>
      <c r="F5" s="12">
        <f>D5*E5</f>
        <v/>
      </c>
    </row>
    <row r="6">
      <c r="A6" s="5" t="inlineStr">
        <is>
          <t>SV002</t>
        </is>
      </c>
      <c r="B6" s="5" t="inlineStr">
        <is>
          <t>Ecocardiograma Transesofágico</t>
        </is>
      </c>
      <c r="C6" s="5" t="inlineStr">
        <is>
          <t>Material descartable</t>
        </is>
      </c>
      <c r="D6" s="6" t="n">
        <v>1</v>
      </c>
      <c r="E6" s="11" t="n">
        <v>15000</v>
      </c>
      <c r="F6" s="12">
        <f>D6*E6</f>
        <v/>
      </c>
    </row>
    <row r="7">
      <c r="A7" s="5" t="inlineStr">
        <is>
          <t>SV011</t>
        </is>
      </c>
      <c r="B7" s="5" t="inlineStr">
        <is>
          <t>Estudio Electrofisiológico</t>
        </is>
      </c>
      <c r="C7" s="5" t="inlineStr">
        <is>
          <t>Catéter diagnóstico</t>
        </is>
      </c>
      <c r="D7" s="6" t="n">
        <v>2</v>
      </c>
      <c r="E7" s="11" t="n">
        <v>450000</v>
      </c>
      <c r="F7" s="12">
        <f>D7*E7</f>
        <v/>
      </c>
    </row>
    <row r="8">
      <c r="A8" s="5" t="inlineStr">
        <is>
          <t>SV011</t>
        </is>
      </c>
      <c r="B8" s="5" t="inlineStr">
        <is>
          <t>Estudio Electrofisiológico</t>
        </is>
      </c>
      <c r="C8" s="5" t="inlineStr">
        <is>
          <t>Electrodos</t>
        </is>
      </c>
      <c r="D8" s="6" t="n">
        <v>6</v>
      </c>
      <c r="E8" s="11" t="n">
        <v>25000</v>
      </c>
      <c r="F8" s="12">
        <f>D8*E8</f>
        <v/>
      </c>
    </row>
    <row r="9">
      <c r="A9" s="5" t="inlineStr">
        <is>
          <t>SV011</t>
        </is>
      </c>
      <c r="B9" s="5" t="inlineStr">
        <is>
          <t>Estudio Electrofisiológico</t>
        </is>
      </c>
      <c r="C9" s="5" t="inlineStr">
        <is>
          <t>Material quirúrgico</t>
        </is>
      </c>
      <c r="D9" s="6" t="n">
        <v>1</v>
      </c>
      <c r="E9" s="11" t="n">
        <v>120000</v>
      </c>
      <c r="F9" s="12">
        <f>D9*E9</f>
        <v/>
      </c>
    </row>
    <row r="10">
      <c r="A10" s="5" t="inlineStr">
        <is>
          <t>SV012</t>
        </is>
      </c>
      <c r="B10" s="5" t="inlineStr">
        <is>
          <t>Cardioversión Eléctrica</t>
        </is>
      </c>
      <c r="C10" s="5" t="inlineStr">
        <is>
          <t>Electrodos adhesivos</t>
        </is>
      </c>
      <c r="D10" s="6" t="n">
        <v>2</v>
      </c>
      <c r="E10" s="11" t="n">
        <v>35000</v>
      </c>
      <c r="F10" s="12">
        <f>D10*E10</f>
        <v/>
      </c>
    </row>
    <row r="11">
      <c r="A11" s="5" t="inlineStr">
        <is>
          <t>SV012</t>
        </is>
      </c>
      <c r="B11" s="5" t="inlineStr">
        <is>
          <t>Cardioversión Eléctrica</t>
        </is>
      </c>
      <c r="C11" s="5" t="inlineStr">
        <is>
          <t>Medicamentos sedación</t>
        </is>
      </c>
      <c r="D11" s="6" t="n">
        <v>1</v>
      </c>
      <c r="E11" s="11" t="n">
        <v>80000</v>
      </c>
      <c r="F11" s="12">
        <f>D11*E11</f>
        <v/>
      </c>
    </row>
    <row r="12">
      <c r="A12" s="5" t="inlineStr">
        <is>
          <t>SV012</t>
        </is>
      </c>
      <c r="B12" s="5" t="inlineStr">
        <is>
          <t>Cardioversión Eléctrica</t>
        </is>
      </c>
      <c r="C12" s="5" t="inlineStr">
        <is>
          <t>Material descartable</t>
        </is>
      </c>
      <c r="D12" s="6" t="n">
        <v>1</v>
      </c>
      <c r="E12" s="11" t="n">
        <v>20000</v>
      </c>
      <c r="F12" s="12">
        <f>D12*E12</f>
        <v/>
      </c>
    </row>
    <row r="13">
      <c r="A13" s="5" t="inlineStr">
        <is>
          <t>SV013</t>
        </is>
      </c>
      <c r="B13" s="5" t="inlineStr">
        <is>
          <t>Implante Marcapasos</t>
        </is>
      </c>
      <c r="C13" s="5" t="inlineStr">
        <is>
          <t>Marcapasos (dispositivo)</t>
        </is>
      </c>
      <c r="D13" s="6" t="n">
        <v>1</v>
      </c>
      <c r="E13" s="11" t="n">
        <v>8500000</v>
      </c>
      <c r="F13" s="12">
        <f>D13*E13</f>
        <v/>
      </c>
    </row>
    <row r="14">
      <c r="A14" s="5" t="inlineStr">
        <is>
          <t>SV013</t>
        </is>
      </c>
      <c r="B14" s="5" t="inlineStr">
        <is>
          <t>Implante Marcapasos</t>
        </is>
      </c>
      <c r="C14" s="5" t="inlineStr">
        <is>
          <t>Cables de estimulación</t>
        </is>
      </c>
      <c r="D14" s="6" t="n">
        <v>2</v>
      </c>
      <c r="E14" s="11" t="n">
        <v>650000</v>
      </c>
      <c r="F14" s="12">
        <f>D14*E14</f>
        <v/>
      </c>
    </row>
    <row r="15">
      <c r="A15" s="5" t="inlineStr">
        <is>
          <t>SV013</t>
        </is>
      </c>
      <c r="B15" s="5" t="inlineStr">
        <is>
          <t>Implante Marcapasos</t>
        </is>
      </c>
      <c r="C15" s="5" t="inlineStr">
        <is>
          <t>Material quirúrgico</t>
        </is>
      </c>
      <c r="D15" s="6" t="n">
        <v>1</v>
      </c>
      <c r="E15" s="11" t="n">
        <v>180000</v>
      </c>
      <c r="F15" s="12">
        <f>D15*E15</f>
        <v/>
      </c>
    </row>
    <row r="16">
      <c r="A16" s="5" t="inlineStr">
        <is>
          <t>SV013</t>
        </is>
      </c>
      <c r="B16" s="5" t="inlineStr">
        <is>
          <t>Implante Marcapasos</t>
        </is>
      </c>
      <c r="C16" s="5" t="inlineStr">
        <is>
          <t>Medicamentos</t>
        </is>
      </c>
      <c r="D16" s="6" t="n">
        <v>1</v>
      </c>
      <c r="E16" s="11" t="n">
        <v>120000</v>
      </c>
      <c r="F16" s="12">
        <f>D16*E16</f>
        <v/>
      </c>
    </row>
    <row r="17">
      <c r="A17" s="5" t="inlineStr">
        <is>
          <t>SV014</t>
        </is>
      </c>
      <c r="B17" s="5" t="inlineStr">
        <is>
          <t>Cateterismo Cardíaco Derecho</t>
        </is>
      </c>
      <c r="C17" s="5" t="inlineStr">
        <is>
          <t>Catéter Swan-Ganz</t>
        </is>
      </c>
      <c r="D17" s="6" t="n">
        <v>1</v>
      </c>
      <c r="E17" s="11" t="n">
        <v>380000</v>
      </c>
      <c r="F17" s="12">
        <f>D17*E17</f>
        <v/>
      </c>
    </row>
    <row r="18">
      <c r="A18" s="5" t="inlineStr">
        <is>
          <t>SV014</t>
        </is>
      </c>
      <c r="B18" s="5" t="inlineStr">
        <is>
          <t>Cateterismo Cardíaco Derecho</t>
        </is>
      </c>
      <c r="C18" s="5" t="inlineStr">
        <is>
          <t>Introductor</t>
        </is>
      </c>
      <c r="D18" s="6" t="n">
        <v>1</v>
      </c>
      <c r="E18" s="11" t="n">
        <v>85000</v>
      </c>
      <c r="F18" s="12">
        <f>D18*E18</f>
        <v/>
      </c>
    </row>
    <row r="19">
      <c r="A19" s="5" t="inlineStr">
        <is>
          <t>SV014</t>
        </is>
      </c>
      <c r="B19" s="5" t="inlineStr">
        <is>
          <t>Cateterismo Cardíaco Derecho</t>
        </is>
      </c>
      <c r="C19" s="5" t="inlineStr">
        <is>
          <t>Medio de contraste</t>
        </is>
      </c>
      <c r="D19" s="6" t="n">
        <v>50</v>
      </c>
      <c r="E19" s="11" t="n">
        <v>1200</v>
      </c>
      <c r="F19" s="12">
        <f>D19*E19</f>
        <v/>
      </c>
    </row>
    <row r="20">
      <c r="A20" s="5" t="inlineStr">
        <is>
          <t>SV014</t>
        </is>
      </c>
      <c r="B20" s="5" t="inlineStr">
        <is>
          <t>Cateterismo Cardíaco Derecho</t>
        </is>
      </c>
      <c r="C20" s="5" t="inlineStr">
        <is>
          <t>Material descartable</t>
        </is>
      </c>
      <c r="D20" s="6" t="n">
        <v>1</v>
      </c>
      <c r="E20" s="11" t="n">
        <v>95000</v>
      </c>
      <c r="F20" s="12">
        <f>D20*E20</f>
        <v/>
      </c>
    </row>
    <row r="21">
      <c r="A21" s="5" t="inlineStr">
        <is>
          <t>SV015</t>
        </is>
      </c>
      <c r="B21" s="5" t="inlineStr">
        <is>
          <t>Cateterismo Cardíaco Izquierdo</t>
        </is>
      </c>
      <c r="C21" s="5" t="inlineStr">
        <is>
          <t>Catéter diagnóstico</t>
        </is>
      </c>
      <c r="D21" s="6" t="n">
        <v>2</v>
      </c>
      <c r="E21" s="11" t="n">
        <v>420000</v>
      </c>
      <c r="F21" s="12">
        <f>D21*E21</f>
        <v/>
      </c>
    </row>
    <row r="22">
      <c r="A22" s="5" t="inlineStr">
        <is>
          <t>SV015</t>
        </is>
      </c>
      <c r="B22" s="5" t="inlineStr">
        <is>
          <t>Cateterismo Cardíaco Izquierdo</t>
        </is>
      </c>
      <c r="C22" s="5" t="inlineStr">
        <is>
          <t>Introductor arterial</t>
        </is>
      </c>
      <c r="D22" s="6" t="n">
        <v>1</v>
      </c>
      <c r="E22" s="11" t="n">
        <v>95000</v>
      </c>
      <c r="F22" s="12">
        <f>D22*E22</f>
        <v/>
      </c>
    </row>
    <row r="23">
      <c r="A23" s="5" t="inlineStr">
        <is>
          <t>SV015</t>
        </is>
      </c>
      <c r="B23" s="5" t="inlineStr">
        <is>
          <t>Cateterismo Cardíaco Izquierdo</t>
        </is>
      </c>
      <c r="C23" s="5" t="inlineStr">
        <is>
          <t>Medio de contraste</t>
        </is>
      </c>
      <c r="D23" s="6" t="n">
        <v>100</v>
      </c>
      <c r="E23" s="11" t="n">
        <v>1200</v>
      </c>
      <c r="F23" s="12">
        <f>D23*E23</f>
        <v/>
      </c>
    </row>
    <row r="24">
      <c r="A24" s="5" t="inlineStr">
        <is>
          <t>SV015</t>
        </is>
      </c>
      <c r="B24" s="5" t="inlineStr">
        <is>
          <t>Cateterismo Cardíaco Izquierdo</t>
        </is>
      </c>
      <c r="C24" s="5" t="inlineStr">
        <is>
          <t>Material descartable</t>
        </is>
      </c>
      <c r="D24" s="6" t="n">
        <v>1</v>
      </c>
      <c r="E24" s="11" t="n">
        <v>110000</v>
      </c>
      <c r="F24" s="12">
        <f>D24*E24</f>
        <v/>
      </c>
    </row>
    <row r="25">
      <c r="A25" s="5" t="inlineStr">
        <is>
          <t>SV016</t>
        </is>
      </c>
      <c r="B25" s="5" t="inlineStr">
        <is>
          <t>Angioplastia Coronaria</t>
        </is>
      </c>
      <c r="C25" s="5" t="inlineStr">
        <is>
          <t>Stent coronario</t>
        </is>
      </c>
      <c r="D25" s="6" t="n">
        <v>1.5</v>
      </c>
      <c r="E25" s="11" t="n">
        <v>3500000</v>
      </c>
      <c r="F25" s="12">
        <f>D25*E25</f>
        <v/>
      </c>
    </row>
    <row r="26">
      <c r="A26" s="5" t="inlineStr">
        <is>
          <t>SV016</t>
        </is>
      </c>
      <c r="B26" s="5" t="inlineStr">
        <is>
          <t>Angioplastia Coronaria</t>
        </is>
      </c>
      <c r="C26" s="5" t="inlineStr">
        <is>
          <t>Catéter guía</t>
        </is>
      </c>
      <c r="D26" s="6" t="n">
        <v>1</v>
      </c>
      <c r="E26" s="11" t="n">
        <v>580000</v>
      </c>
      <c r="F26" s="12">
        <f>D26*E26</f>
        <v/>
      </c>
    </row>
    <row r="27">
      <c r="A27" s="5" t="inlineStr">
        <is>
          <t>SV016</t>
        </is>
      </c>
      <c r="B27" s="5" t="inlineStr">
        <is>
          <t>Angioplastia Coronaria</t>
        </is>
      </c>
      <c r="C27" s="5" t="inlineStr">
        <is>
          <t>Balón de angioplastia</t>
        </is>
      </c>
      <c r="D27" s="6" t="n">
        <v>2</v>
      </c>
      <c r="E27" s="11" t="n">
        <v>450000</v>
      </c>
      <c r="F27" s="12">
        <f>D27*E27</f>
        <v/>
      </c>
    </row>
    <row r="28">
      <c r="A28" s="5" t="inlineStr">
        <is>
          <t>SV016</t>
        </is>
      </c>
      <c r="B28" s="5" t="inlineStr">
        <is>
          <t>Angioplastia Coronaria</t>
        </is>
      </c>
      <c r="C28" s="5" t="inlineStr">
        <is>
          <t>Medio de contraste</t>
        </is>
      </c>
      <c r="D28" s="6" t="n">
        <v>150</v>
      </c>
      <c r="E28" s="11" t="n">
        <v>1200</v>
      </c>
      <c r="F28" s="12">
        <f>D28*E28</f>
        <v/>
      </c>
    </row>
    <row r="29">
      <c r="A29" s="5" t="inlineStr">
        <is>
          <t>SV016</t>
        </is>
      </c>
      <c r="B29" s="5" t="inlineStr">
        <is>
          <t>Angioplastia Coronaria</t>
        </is>
      </c>
      <c r="C29" s="5" t="inlineStr">
        <is>
          <t>Medicamentos anticoagulantes</t>
        </is>
      </c>
      <c r="D29" s="6" t="n">
        <v>1</v>
      </c>
      <c r="E29" s="11" t="n">
        <v>280000</v>
      </c>
      <c r="F29" s="12">
        <f>D29*E29</f>
        <v/>
      </c>
    </row>
    <row r="30">
      <c r="A30" s="5" t="inlineStr">
        <is>
          <t>SV016</t>
        </is>
      </c>
      <c r="B30" s="5" t="inlineStr">
        <is>
          <t>Angioplastia Coronaria</t>
        </is>
      </c>
      <c r="C30" s="5" t="inlineStr">
        <is>
          <t>Material descartable</t>
        </is>
      </c>
      <c r="D30" s="6" t="n">
        <v>1</v>
      </c>
      <c r="E30" s="11" t="n">
        <v>250000</v>
      </c>
      <c r="F30" s="12">
        <f>D30*E30</f>
        <v/>
      </c>
    </row>
    <row r="31">
      <c r="A31" s="5" t="inlineStr">
        <is>
          <t>SV017</t>
        </is>
      </c>
      <c r="B31" s="5" t="inlineStr">
        <is>
          <t>Ablación por Radiofrecuencia</t>
        </is>
      </c>
      <c r="C31" s="5" t="inlineStr">
        <is>
          <t>Catéter de ablación</t>
        </is>
      </c>
      <c r="D31" s="6" t="n">
        <v>1</v>
      </c>
      <c r="E31" s="11" t="n">
        <v>4500000</v>
      </c>
      <c r="F31" s="12">
        <f>D31*E31</f>
        <v/>
      </c>
    </row>
    <row r="32">
      <c r="A32" s="5" t="inlineStr">
        <is>
          <t>SV017</t>
        </is>
      </c>
      <c r="B32" s="5" t="inlineStr">
        <is>
          <t>Ablación por Radiofrecuencia</t>
        </is>
      </c>
      <c r="C32" s="5" t="inlineStr">
        <is>
          <t>Catéteres diagnósticos</t>
        </is>
      </c>
      <c r="D32" s="6" t="n">
        <v>3</v>
      </c>
      <c r="E32" s="11" t="n">
        <v>380000</v>
      </c>
      <c r="F32" s="12">
        <f>D32*E32</f>
        <v/>
      </c>
    </row>
    <row r="33">
      <c r="A33" s="5" t="inlineStr">
        <is>
          <t>SV017</t>
        </is>
      </c>
      <c r="B33" s="5" t="inlineStr">
        <is>
          <t>Ablación por Radiofrecuencia</t>
        </is>
      </c>
      <c r="C33" s="5" t="inlineStr">
        <is>
          <t>Electrodos</t>
        </is>
      </c>
      <c r="D33" s="6" t="n">
        <v>8</v>
      </c>
      <c r="E33" s="11" t="n">
        <v>25000</v>
      </c>
      <c r="F33" s="12">
        <f>D33*E33</f>
        <v/>
      </c>
    </row>
    <row r="34">
      <c r="A34" s="5" t="inlineStr">
        <is>
          <t>SV017</t>
        </is>
      </c>
      <c r="B34" s="5" t="inlineStr">
        <is>
          <t>Ablación por Radiofrecuencia</t>
        </is>
      </c>
      <c r="C34" s="5" t="inlineStr">
        <is>
          <t>Material descartable</t>
        </is>
      </c>
      <c r="D34" s="6" t="n">
        <v>1</v>
      </c>
      <c r="E34" s="11" t="n">
        <v>320000</v>
      </c>
      <c r="F34" s="12">
        <f>D34*E34</f>
        <v/>
      </c>
    </row>
    <row r="35">
      <c r="A35" s="5" t="inlineStr">
        <is>
          <t>SV018</t>
        </is>
      </c>
      <c r="B35" s="5" t="inlineStr">
        <is>
          <t>Cierre de CIA</t>
        </is>
      </c>
      <c r="C35" s="5" t="inlineStr">
        <is>
          <t>Dispositivo oclusor</t>
        </is>
      </c>
      <c r="D35" s="6" t="n">
        <v>1</v>
      </c>
      <c r="E35" s="11" t="n">
        <v>12000000</v>
      </c>
      <c r="F35" s="12">
        <f>D35*E35</f>
        <v/>
      </c>
    </row>
    <row r="36">
      <c r="A36" s="5" t="inlineStr">
        <is>
          <t>SV018</t>
        </is>
      </c>
      <c r="B36" s="5" t="inlineStr">
        <is>
          <t>Cierre de CIA</t>
        </is>
      </c>
      <c r="C36" s="5" t="inlineStr">
        <is>
          <t>Catéter delivery</t>
        </is>
      </c>
      <c r="D36" s="6" t="n">
        <v>1</v>
      </c>
      <c r="E36" s="11" t="n">
        <v>850000</v>
      </c>
      <c r="F36" s="12">
        <f>D36*E36</f>
        <v/>
      </c>
    </row>
    <row r="37">
      <c r="A37" s="5" t="inlineStr">
        <is>
          <t>SV018</t>
        </is>
      </c>
      <c r="B37" s="5" t="inlineStr">
        <is>
          <t>Cierre de CIA</t>
        </is>
      </c>
      <c r="C37" s="5" t="inlineStr">
        <is>
          <t>Catéter diagnóstico</t>
        </is>
      </c>
      <c r="D37" s="6" t="n">
        <v>2</v>
      </c>
      <c r="E37" s="11" t="n">
        <v>380000</v>
      </c>
      <c r="F37" s="12">
        <f>D37*E37</f>
        <v/>
      </c>
    </row>
    <row r="38">
      <c r="A38" s="5" t="inlineStr">
        <is>
          <t>SV018</t>
        </is>
      </c>
      <c r="B38" s="5" t="inlineStr">
        <is>
          <t>Cierre de CIA</t>
        </is>
      </c>
      <c r="C38" s="5" t="inlineStr">
        <is>
          <t>Medio de contraste</t>
        </is>
      </c>
      <c r="D38" s="6" t="n">
        <v>80</v>
      </c>
      <c r="E38" s="11" t="n">
        <v>1200</v>
      </c>
      <c r="F38" s="12">
        <f>D38*E38</f>
        <v/>
      </c>
    </row>
    <row r="39">
      <c r="A39" s="5" t="inlineStr">
        <is>
          <t>SV018</t>
        </is>
      </c>
      <c r="B39" s="5" t="inlineStr">
        <is>
          <t>Cierre de CIA</t>
        </is>
      </c>
      <c r="C39" s="5" t="inlineStr">
        <is>
          <t>Material descartable</t>
        </is>
      </c>
      <c r="D39" s="6" t="n">
        <v>1</v>
      </c>
      <c r="E39" s="11" t="n">
        <v>280000</v>
      </c>
      <c r="F39" s="12">
        <f>D39*E39</f>
        <v/>
      </c>
    </row>
    <row r="40">
      <c r="A40" s="5" t="inlineStr">
        <is>
          <t>SV019</t>
        </is>
      </c>
      <c r="B40" s="5" t="inlineStr">
        <is>
          <t>Estudio Hemodinámico Completo</t>
        </is>
      </c>
      <c r="C40" s="5" t="inlineStr">
        <is>
          <t>Catéteres</t>
        </is>
      </c>
      <c r="D40" s="6" t="n">
        <v>3</v>
      </c>
      <c r="E40" s="11" t="n">
        <v>420000</v>
      </c>
      <c r="F40" s="12">
        <f>D40*E40</f>
        <v/>
      </c>
    </row>
    <row r="41">
      <c r="A41" s="5" t="inlineStr">
        <is>
          <t>SV019</t>
        </is>
      </c>
      <c r="B41" s="5" t="inlineStr">
        <is>
          <t>Estudio Hemodinámico Completo</t>
        </is>
      </c>
      <c r="C41" s="5" t="inlineStr">
        <is>
          <t>Introductor</t>
        </is>
      </c>
      <c r="D41" s="6" t="n">
        <v>2</v>
      </c>
      <c r="E41" s="11" t="n">
        <v>85000</v>
      </c>
      <c r="F41" s="12">
        <f>D41*E41</f>
        <v/>
      </c>
    </row>
    <row r="42">
      <c r="A42" s="5" t="inlineStr">
        <is>
          <t>SV019</t>
        </is>
      </c>
      <c r="B42" s="5" t="inlineStr">
        <is>
          <t>Estudio Hemodinámico Completo</t>
        </is>
      </c>
      <c r="C42" s="5" t="inlineStr">
        <is>
          <t>Medio de contraste</t>
        </is>
      </c>
      <c r="D42" s="6" t="n">
        <v>120</v>
      </c>
      <c r="E42" s="11" t="n">
        <v>1200</v>
      </c>
      <c r="F42" s="12">
        <f>D42*E42</f>
        <v/>
      </c>
    </row>
    <row r="43">
      <c r="A43" s="5" t="inlineStr">
        <is>
          <t>SV019</t>
        </is>
      </c>
      <c r="B43" s="5" t="inlineStr">
        <is>
          <t>Estudio Hemodinámico Completo</t>
        </is>
      </c>
      <c r="C43" s="5" t="inlineStr">
        <is>
          <t>Material descartable</t>
        </is>
      </c>
      <c r="D43" s="6" t="n">
        <v>1</v>
      </c>
      <c r="E43" s="11" t="n">
        <v>150000</v>
      </c>
      <c r="F43" s="12">
        <f>D43*E43</f>
        <v/>
      </c>
    </row>
    <row r="44">
      <c r="A44" s="5" t="inlineStr">
        <is>
          <t>SV020</t>
        </is>
      </c>
      <c r="B44" s="5" t="inlineStr">
        <is>
          <t>Biopsia Endomiocárdica</t>
        </is>
      </c>
      <c r="C44" s="5" t="inlineStr">
        <is>
          <t>Pinza de biopsia</t>
        </is>
      </c>
      <c r="D44" s="6" t="n">
        <v>1</v>
      </c>
      <c r="E44" s="11" t="n">
        <v>680000</v>
      </c>
      <c r="F44" s="12">
        <f>D44*E44</f>
        <v/>
      </c>
    </row>
    <row r="45">
      <c r="A45" s="5" t="inlineStr">
        <is>
          <t>SV020</t>
        </is>
      </c>
      <c r="B45" s="5" t="inlineStr">
        <is>
          <t>Biopsia Endomiocárdica</t>
        </is>
      </c>
      <c r="C45" s="5" t="inlineStr">
        <is>
          <t>Catéter guía</t>
        </is>
      </c>
      <c r="D45" s="6" t="n">
        <v>1</v>
      </c>
      <c r="E45" s="11" t="n">
        <v>350000</v>
      </c>
      <c r="F45" s="12">
        <f>D45*E45</f>
        <v/>
      </c>
    </row>
    <row r="46">
      <c r="A46" s="5" t="inlineStr">
        <is>
          <t>SV020</t>
        </is>
      </c>
      <c r="B46" s="5" t="inlineStr">
        <is>
          <t>Biopsia Endomiocárdica</t>
        </is>
      </c>
      <c r="C46" s="5" t="inlineStr">
        <is>
          <t>Material histológico</t>
        </is>
      </c>
      <c r="D46" s="6" t="n">
        <v>1</v>
      </c>
      <c r="E46" s="11" t="n">
        <v>95000</v>
      </c>
      <c r="F46" s="12">
        <f>D46*E46</f>
        <v/>
      </c>
    </row>
    <row r="47">
      <c r="A47" s="5" t="inlineStr">
        <is>
          <t>SV020</t>
        </is>
      </c>
      <c r="B47" s="5" t="inlineStr">
        <is>
          <t>Biopsia Endomiocárdica</t>
        </is>
      </c>
      <c r="C47" s="5" t="inlineStr">
        <is>
          <t>Material descartable</t>
        </is>
      </c>
      <c r="D47" s="6" t="n">
        <v>1</v>
      </c>
      <c r="E47" s="11" t="n">
        <v>120000</v>
      </c>
      <c r="F47" s="12">
        <f>D47*E47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0" customWidth="1" min="4" max="4"/>
    <col width="12" customWidth="1" min="5" max="5"/>
    <col width="18" customWidth="1" min="6" max="6"/>
    <col width="18" customWidth="1" min="7" max="7"/>
  </cols>
  <sheetData>
    <row r="1">
      <c r="A1" s="24" t="inlineStr">
        <is>
          <t>PRODUCCIÓN MENSUAL Y FACTURACIÓN</t>
        </is>
      </c>
    </row>
    <row r="3">
      <c r="A3" s="10" t="inlineStr">
        <is>
          <t>Código</t>
        </is>
      </c>
      <c r="B3" s="10" t="inlineStr">
        <is>
          <t>Servicio</t>
        </is>
      </c>
      <c r="C3" s="10" t="inlineStr">
        <is>
          <t>Sede</t>
        </is>
      </c>
      <c r="D3" s="10" t="inlineStr">
        <is>
          <t>Aseguradora</t>
        </is>
      </c>
      <c r="E3" s="10" t="inlineStr">
        <is>
          <t>Cantidad</t>
        </is>
      </c>
      <c r="F3" s="10" t="inlineStr">
        <is>
          <t>Valor Facturado Promedio</t>
        </is>
      </c>
      <c r="G3" s="10" t="inlineStr">
        <is>
          <t>Total Facturado</t>
        </is>
      </c>
    </row>
    <row r="4">
      <c r="A4" s="5" t="inlineStr">
        <is>
          <t>SV001</t>
        </is>
      </c>
      <c r="B4" s="5" t="inlineStr">
        <is>
          <t>Ecocardiograma Transtorácico</t>
        </is>
      </c>
      <c r="C4" s="5" t="inlineStr">
        <is>
          <t>Sede Norte - Bogotá</t>
        </is>
      </c>
      <c r="D4" s="5" t="inlineStr">
        <is>
          <t>SURA</t>
        </is>
      </c>
      <c r="E4" s="6" t="n">
        <v>37</v>
      </c>
      <c r="F4" s="11" t="n">
        <v>162195</v>
      </c>
      <c r="G4" s="12">
        <f>E4*F4</f>
        <v/>
      </c>
    </row>
    <row r="5">
      <c r="A5" s="5" t="inlineStr">
        <is>
          <t>SV001</t>
        </is>
      </c>
      <c r="B5" s="5" t="inlineStr">
        <is>
          <t>Ecocardiograma Transtorácico</t>
        </is>
      </c>
      <c r="C5" s="5" t="inlineStr">
        <is>
          <t>Sede Norte - Bogotá</t>
        </is>
      </c>
      <c r="D5" s="5" t="inlineStr">
        <is>
          <t>Sanitas</t>
        </is>
      </c>
      <c r="E5" s="6" t="n">
        <v>25</v>
      </c>
      <c r="F5" s="11" t="n">
        <v>227904</v>
      </c>
      <c r="G5" s="12">
        <f>E5*F5</f>
        <v/>
      </c>
    </row>
    <row r="6">
      <c r="A6" s="5" t="inlineStr">
        <is>
          <t>SV001</t>
        </is>
      </c>
      <c r="B6" s="5" t="inlineStr">
        <is>
          <t>Ecocardiograma Transtorácico</t>
        </is>
      </c>
      <c r="C6" s="5" t="inlineStr">
        <is>
          <t>Sede Norte - Bogotá</t>
        </is>
      </c>
      <c r="D6" s="5" t="inlineStr">
        <is>
          <t>Compensar</t>
        </is>
      </c>
      <c r="E6" s="6" t="n">
        <v>22</v>
      </c>
      <c r="F6" s="11" t="n">
        <v>159730</v>
      </c>
      <c r="G6" s="12">
        <f>E6*F6</f>
        <v/>
      </c>
    </row>
    <row r="7">
      <c r="A7" s="5" t="inlineStr">
        <is>
          <t>SV001</t>
        </is>
      </c>
      <c r="B7" s="5" t="inlineStr">
        <is>
          <t>Ecocardiograma Transtorácico</t>
        </is>
      </c>
      <c r="C7" s="5" t="inlineStr">
        <is>
          <t>Sede Norte - Bogotá</t>
        </is>
      </c>
      <c r="D7" s="5" t="inlineStr">
        <is>
          <t>Salud Total</t>
        </is>
      </c>
      <c r="E7" s="6" t="n">
        <v>30</v>
      </c>
      <c r="F7" s="11" t="n">
        <v>182825</v>
      </c>
      <c r="G7" s="12">
        <f>E7*F7</f>
        <v/>
      </c>
    </row>
    <row r="8">
      <c r="A8" s="5" t="inlineStr">
        <is>
          <t>SV001</t>
        </is>
      </c>
      <c r="B8" s="5" t="inlineStr">
        <is>
          <t>Ecocardiograma Transtorácico</t>
        </is>
      </c>
      <c r="C8" s="5" t="inlineStr">
        <is>
          <t>Sede Norte - Bogotá</t>
        </is>
      </c>
      <c r="D8" s="5" t="inlineStr">
        <is>
          <t>Nueva EPS</t>
        </is>
      </c>
      <c r="E8" s="6" t="n">
        <v>28</v>
      </c>
      <c r="F8" s="11" t="n">
        <v>210394</v>
      </c>
      <c r="G8" s="12">
        <f>E8*F8</f>
        <v/>
      </c>
    </row>
    <row r="9">
      <c r="A9" s="5" t="inlineStr">
        <is>
          <t>SV001</t>
        </is>
      </c>
      <c r="B9" s="5" t="inlineStr">
        <is>
          <t>Ecocardiograma Transtorácico</t>
        </is>
      </c>
      <c r="C9" s="5" t="inlineStr">
        <is>
          <t>Sede Sur - Medellín</t>
        </is>
      </c>
      <c r="D9" s="5" t="inlineStr">
        <is>
          <t>SURA</t>
        </is>
      </c>
      <c r="E9" s="6" t="n">
        <v>17</v>
      </c>
      <c r="F9" s="11" t="n">
        <v>316216</v>
      </c>
      <c r="G9" s="12">
        <f>E9*F9</f>
        <v/>
      </c>
    </row>
    <row r="10">
      <c r="A10" s="5" t="inlineStr">
        <is>
          <t>SV001</t>
        </is>
      </c>
      <c r="B10" s="5" t="inlineStr">
        <is>
          <t>Ecocardiograma Transtorácico</t>
        </is>
      </c>
      <c r="C10" s="5" t="inlineStr">
        <is>
          <t>Sede Sur - Medellín</t>
        </is>
      </c>
      <c r="D10" s="5" t="inlineStr">
        <is>
          <t>Sanitas</t>
        </is>
      </c>
      <c r="E10" s="6" t="n">
        <v>28</v>
      </c>
      <c r="F10" s="11" t="n">
        <v>162397</v>
      </c>
      <c r="G10" s="12">
        <f>E10*F10</f>
        <v/>
      </c>
    </row>
    <row r="11">
      <c r="A11" s="5" t="inlineStr">
        <is>
          <t>SV001</t>
        </is>
      </c>
      <c r="B11" s="5" t="inlineStr">
        <is>
          <t>Ecocardiograma Transtorácico</t>
        </is>
      </c>
      <c r="C11" s="5" t="inlineStr">
        <is>
          <t>Sede Sur - Medellín</t>
        </is>
      </c>
      <c r="D11" s="5" t="inlineStr">
        <is>
          <t>Compensar</t>
        </is>
      </c>
      <c r="E11" s="6" t="n">
        <v>32</v>
      </c>
      <c r="F11" s="11" t="n">
        <v>304869</v>
      </c>
      <c r="G11" s="12">
        <f>E11*F11</f>
        <v/>
      </c>
    </row>
    <row r="12">
      <c r="A12" s="5" t="inlineStr">
        <is>
          <t>SV001</t>
        </is>
      </c>
      <c r="B12" s="5" t="inlineStr">
        <is>
          <t>Ecocardiograma Transtorácico</t>
        </is>
      </c>
      <c r="C12" s="5" t="inlineStr">
        <is>
          <t>Sede Sur - Medellín</t>
        </is>
      </c>
      <c r="D12" s="5" t="inlineStr">
        <is>
          <t>Salud Total</t>
        </is>
      </c>
      <c r="E12" s="6" t="n">
        <v>34</v>
      </c>
      <c r="F12" s="11" t="n">
        <v>340006</v>
      </c>
      <c r="G12" s="12">
        <f>E12*F12</f>
        <v/>
      </c>
    </row>
    <row r="13">
      <c r="A13" s="5" t="inlineStr">
        <is>
          <t>SV001</t>
        </is>
      </c>
      <c r="B13" s="5" t="inlineStr">
        <is>
          <t>Ecocardiograma Transtorácico</t>
        </is>
      </c>
      <c r="C13" s="5" t="inlineStr">
        <is>
          <t>Sede Sur - Medellín</t>
        </is>
      </c>
      <c r="D13" s="5" t="inlineStr">
        <is>
          <t>Nueva EPS</t>
        </is>
      </c>
      <c r="E13" s="6" t="n">
        <v>35</v>
      </c>
      <c r="F13" s="11" t="n">
        <v>317484</v>
      </c>
      <c r="G13" s="12">
        <f>E13*F13</f>
        <v/>
      </c>
    </row>
    <row r="14">
      <c r="A14" s="5" t="inlineStr">
        <is>
          <t>SV001</t>
        </is>
      </c>
      <c r="B14" s="5" t="inlineStr">
        <is>
          <t>Ecocardiograma Transtorácico</t>
        </is>
      </c>
      <c r="C14" s="5" t="inlineStr">
        <is>
          <t>Sede Centro - Cali</t>
        </is>
      </c>
      <c r="D14" s="5" t="inlineStr">
        <is>
          <t>SURA</t>
        </is>
      </c>
      <c r="E14" s="6" t="n">
        <v>22</v>
      </c>
      <c r="F14" s="11" t="n">
        <v>199854</v>
      </c>
      <c r="G14" s="12">
        <f>E14*F14</f>
        <v/>
      </c>
    </row>
    <row r="15">
      <c r="A15" s="5" t="inlineStr">
        <is>
          <t>SV001</t>
        </is>
      </c>
      <c r="B15" s="5" t="inlineStr">
        <is>
          <t>Ecocardiograma Transtorácico</t>
        </is>
      </c>
      <c r="C15" s="5" t="inlineStr">
        <is>
          <t>Sede Centro - Cali</t>
        </is>
      </c>
      <c r="D15" s="5" t="inlineStr">
        <is>
          <t>Sanitas</t>
        </is>
      </c>
      <c r="E15" s="6" t="n">
        <v>24</v>
      </c>
      <c r="F15" s="11" t="n">
        <v>312267</v>
      </c>
      <c r="G15" s="12">
        <f>E15*F15</f>
        <v/>
      </c>
    </row>
    <row r="16">
      <c r="A16" s="5" t="inlineStr">
        <is>
          <t>SV001</t>
        </is>
      </c>
      <c r="B16" s="5" t="inlineStr">
        <is>
          <t>Ecocardiograma Transtorácico</t>
        </is>
      </c>
      <c r="C16" s="5" t="inlineStr">
        <is>
          <t>Sede Centro - Cali</t>
        </is>
      </c>
      <c r="D16" s="5" t="inlineStr">
        <is>
          <t>Compensar</t>
        </is>
      </c>
      <c r="E16" s="6" t="n">
        <v>36</v>
      </c>
      <c r="F16" s="11" t="n">
        <v>197228</v>
      </c>
      <c r="G16" s="12">
        <f>E16*F16</f>
        <v/>
      </c>
    </row>
    <row r="17">
      <c r="A17" s="5" t="inlineStr">
        <is>
          <t>SV001</t>
        </is>
      </c>
      <c r="B17" s="5" t="inlineStr">
        <is>
          <t>Ecocardiograma Transtorácico</t>
        </is>
      </c>
      <c r="C17" s="5" t="inlineStr">
        <is>
          <t>Sede Centro - Cali</t>
        </is>
      </c>
      <c r="D17" s="5" t="inlineStr">
        <is>
          <t>Salud Total</t>
        </is>
      </c>
      <c r="E17" s="6" t="n">
        <v>17</v>
      </c>
      <c r="F17" s="11" t="n">
        <v>245338</v>
      </c>
      <c r="G17" s="12">
        <f>E17*F17</f>
        <v/>
      </c>
    </row>
    <row r="18">
      <c r="A18" s="5" t="inlineStr">
        <is>
          <t>SV001</t>
        </is>
      </c>
      <c r="B18" s="5" t="inlineStr">
        <is>
          <t>Ecocardiograma Transtorácico</t>
        </is>
      </c>
      <c r="C18" s="5" t="inlineStr">
        <is>
          <t>Sede Centro - Cali</t>
        </is>
      </c>
      <c r="D18" s="5" t="inlineStr">
        <is>
          <t>Nueva EPS</t>
        </is>
      </c>
      <c r="E18" s="6" t="n">
        <v>18</v>
      </c>
      <c r="F18" s="11" t="n">
        <v>346607</v>
      </c>
      <c r="G18" s="12">
        <f>E18*F18</f>
        <v/>
      </c>
    </row>
    <row r="19">
      <c r="A19" s="5" t="inlineStr">
        <is>
          <t>SV002</t>
        </is>
      </c>
      <c r="B19" s="5" t="inlineStr">
        <is>
          <t>Ecocardiograma Transesofágico</t>
        </is>
      </c>
      <c r="C19" s="5" t="inlineStr">
        <is>
          <t>Sede Norte - Bogotá</t>
        </is>
      </c>
      <c r="D19" s="5" t="inlineStr">
        <is>
          <t>SURA</t>
        </is>
      </c>
      <c r="E19" s="6" t="n">
        <v>6</v>
      </c>
      <c r="F19" s="11" t="n">
        <v>1780884</v>
      </c>
      <c r="G19" s="12">
        <f>E19*F19</f>
        <v/>
      </c>
    </row>
    <row r="20">
      <c r="A20" s="5" t="inlineStr">
        <is>
          <t>SV002</t>
        </is>
      </c>
      <c r="B20" s="5" t="inlineStr">
        <is>
          <t>Ecocardiograma Transesofágico</t>
        </is>
      </c>
      <c r="C20" s="5" t="inlineStr">
        <is>
          <t>Sede Norte - Bogotá</t>
        </is>
      </c>
      <c r="D20" s="5" t="inlineStr">
        <is>
          <t>Sanitas</t>
        </is>
      </c>
      <c r="E20" s="6" t="n">
        <v>5</v>
      </c>
      <c r="F20" s="11" t="n">
        <v>2123935</v>
      </c>
      <c r="G20" s="12">
        <f>E20*F20</f>
        <v/>
      </c>
    </row>
    <row r="21">
      <c r="A21" s="5" t="inlineStr">
        <is>
          <t>SV002</t>
        </is>
      </c>
      <c r="B21" s="5" t="inlineStr">
        <is>
          <t>Ecocardiograma Transesofágico</t>
        </is>
      </c>
      <c r="C21" s="5" t="inlineStr">
        <is>
          <t>Sede Norte - Bogotá</t>
        </is>
      </c>
      <c r="D21" s="5" t="inlineStr">
        <is>
          <t>Compensar</t>
        </is>
      </c>
      <c r="E21" s="6" t="n">
        <v>5</v>
      </c>
      <c r="F21" s="11" t="n">
        <v>1800891</v>
      </c>
      <c r="G21" s="12">
        <f>E21*F21</f>
        <v/>
      </c>
    </row>
    <row r="22">
      <c r="A22" s="5" t="inlineStr">
        <is>
          <t>SV002</t>
        </is>
      </c>
      <c r="B22" s="5" t="inlineStr">
        <is>
          <t>Ecocardiograma Transesofágico</t>
        </is>
      </c>
      <c r="C22" s="5" t="inlineStr">
        <is>
          <t>Sede Norte - Bogotá</t>
        </is>
      </c>
      <c r="D22" s="5" t="inlineStr">
        <is>
          <t>Salud Total</t>
        </is>
      </c>
      <c r="E22" s="6" t="n">
        <v>3</v>
      </c>
      <c r="F22" s="11" t="n">
        <v>1578011</v>
      </c>
      <c r="G22" s="12">
        <f>E22*F22</f>
        <v/>
      </c>
    </row>
    <row r="23">
      <c r="A23" s="5" t="inlineStr">
        <is>
          <t>SV002</t>
        </is>
      </c>
      <c r="B23" s="5" t="inlineStr">
        <is>
          <t>Ecocardiograma Transesofágico</t>
        </is>
      </c>
      <c r="C23" s="5" t="inlineStr">
        <is>
          <t>Sede Norte - Bogotá</t>
        </is>
      </c>
      <c r="D23" s="5" t="inlineStr">
        <is>
          <t>Nueva EPS</t>
        </is>
      </c>
      <c r="E23" s="6" t="n">
        <v>6</v>
      </c>
      <c r="F23" s="11" t="n">
        <v>2798936</v>
      </c>
      <c r="G23" s="12">
        <f>E23*F23</f>
        <v/>
      </c>
    </row>
    <row r="24">
      <c r="A24" s="5" t="inlineStr">
        <is>
          <t>SV002</t>
        </is>
      </c>
      <c r="B24" s="5" t="inlineStr">
        <is>
          <t>Ecocardiograma Transesofágico</t>
        </is>
      </c>
      <c r="C24" s="5" t="inlineStr">
        <is>
          <t>Sede Sur - Medellín</t>
        </is>
      </c>
      <c r="D24" s="5" t="inlineStr">
        <is>
          <t>SURA</t>
        </is>
      </c>
      <c r="E24" s="6" t="n">
        <v>3</v>
      </c>
      <c r="F24" s="11" t="n">
        <v>1903979</v>
      </c>
      <c r="G24" s="12">
        <f>E24*F24</f>
        <v/>
      </c>
    </row>
    <row r="25">
      <c r="A25" s="5" t="inlineStr">
        <is>
          <t>SV002</t>
        </is>
      </c>
      <c r="B25" s="5" t="inlineStr">
        <is>
          <t>Ecocardiograma Transesofágico</t>
        </is>
      </c>
      <c r="C25" s="5" t="inlineStr">
        <is>
          <t>Sede Sur - Medellín</t>
        </is>
      </c>
      <c r="D25" s="5" t="inlineStr">
        <is>
          <t>Sanitas</t>
        </is>
      </c>
      <c r="E25" s="6" t="n">
        <v>3</v>
      </c>
      <c r="F25" s="11" t="n">
        <v>2634138</v>
      </c>
      <c r="G25" s="12">
        <f>E25*F25</f>
        <v/>
      </c>
    </row>
    <row r="26">
      <c r="A26" s="5" t="inlineStr">
        <is>
          <t>SV002</t>
        </is>
      </c>
      <c r="B26" s="5" t="inlineStr">
        <is>
          <t>Ecocardiograma Transesofágico</t>
        </is>
      </c>
      <c r="C26" s="5" t="inlineStr">
        <is>
          <t>Sede Sur - Medellín</t>
        </is>
      </c>
      <c r="D26" s="5" t="inlineStr">
        <is>
          <t>Compensar</t>
        </is>
      </c>
      <c r="E26" s="6" t="n">
        <v>6</v>
      </c>
      <c r="F26" s="11" t="n">
        <v>2341068</v>
      </c>
      <c r="G26" s="12">
        <f>E26*F26</f>
        <v/>
      </c>
    </row>
    <row r="27">
      <c r="A27" s="5" t="inlineStr">
        <is>
          <t>SV002</t>
        </is>
      </c>
      <c r="B27" s="5" t="inlineStr">
        <is>
          <t>Ecocardiograma Transesofágico</t>
        </is>
      </c>
      <c r="C27" s="5" t="inlineStr">
        <is>
          <t>Sede Sur - Medellín</t>
        </is>
      </c>
      <c r="D27" s="5" t="inlineStr">
        <is>
          <t>Salud Total</t>
        </is>
      </c>
      <c r="E27" s="6" t="n">
        <v>6</v>
      </c>
      <c r="F27" s="11" t="n">
        <v>3371093</v>
      </c>
      <c r="G27" s="12">
        <f>E27*F27</f>
        <v/>
      </c>
    </row>
    <row r="28">
      <c r="A28" s="5" t="inlineStr">
        <is>
          <t>SV002</t>
        </is>
      </c>
      <c r="B28" s="5" t="inlineStr">
        <is>
          <t>Ecocardiograma Transesofágico</t>
        </is>
      </c>
      <c r="C28" s="5" t="inlineStr">
        <is>
          <t>Sede Sur - Medellín</t>
        </is>
      </c>
      <c r="D28" s="5" t="inlineStr">
        <is>
          <t>Nueva EPS</t>
        </is>
      </c>
      <c r="E28" s="6" t="n">
        <v>5</v>
      </c>
      <c r="F28" s="11" t="n">
        <v>1970571</v>
      </c>
      <c r="G28" s="12">
        <f>E28*F28</f>
        <v/>
      </c>
    </row>
    <row r="29">
      <c r="A29" s="5" t="inlineStr">
        <is>
          <t>SV002</t>
        </is>
      </c>
      <c r="B29" s="5" t="inlineStr">
        <is>
          <t>Ecocardiograma Transesofágico</t>
        </is>
      </c>
      <c r="C29" s="5" t="inlineStr">
        <is>
          <t>Sede Centro - Cali</t>
        </is>
      </c>
      <c r="D29" s="5" t="inlineStr">
        <is>
          <t>SURA</t>
        </is>
      </c>
      <c r="E29" s="6" t="n">
        <v>4</v>
      </c>
      <c r="F29" s="11" t="n">
        <v>2964236</v>
      </c>
      <c r="G29" s="12">
        <f>E29*F29</f>
        <v/>
      </c>
    </row>
    <row r="30">
      <c r="A30" s="5" t="inlineStr">
        <is>
          <t>SV002</t>
        </is>
      </c>
      <c r="B30" s="5" t="inlineStr">
        <is>
          <t>Ecocardiograma Transesofágico</t>
        </is>
      </c>
      <c r="C30" s="5" t="inlineStr">
        <is>
          <t>Sede Centro - Cali</t>
        </is>
      </c>
      <c r="D30" s="5" t="inlineStr">
        <is>
          <t>Sanitas</t>
        </is>
      </c>
      <c r="E30" s="6" t="n">
        <v>2</v>
      </c>
      <c r="F30" s="11" t="n">
        <v>2405330</v>
      </c>
      <c r="G30" s="12">
        <f>E30*F30</f>
        <v/>
      </c>
    </row>
    <row r="31">
      <c r="A31" s="5" t="inlineStr">
        <is>
          <t>SV002</t>
        </is>
      </c>
      <c r="B31" s="5" t="inlineStr">
        <is>
          <t>Ecocardiograma Transesofágico</t>
        </is>
      </c>
      <c r="C31" s="5" t="inlineStr">
        <is>
          <t>Sede Centro - Cali</t>
        </is>
      </c>
      <c r="D31" s="5" t="inlineStr">
        <is>
          <t>Compensar</t>
        </is>
      </c>
      <c r="E31" s="6" t="n">
        <v>4</v>
      </c>
      <c r="F31" s="11" t="n">
        <v>1826640</v>
      </c>
      <c r="G31" s="12">
        <f>E31*F31</f>
        <v/>
      </c>
    </row>
    <row r="32">
      <c r="A32" s="5" t="inlineStr">
        <is>
          <t>SV002</t>
        </is>
      </c>
      <c r="B32" s="5" t="inlineStr">
        <is>
          <t>Ecocardiograma Transesofágico</t>
        </is>
      </c>
      <c r="C32" s="5" t="inlineStr">
        <is>
          <t>Sede Centro - Cali</t>
        </is>
      </c>
      <c r="D32" s="5" t="inlineStr">
        <is>
          <t>Salud Total</t>
        </is>
      </c>
      <c r="E32" s="6" t="n">
        <v>5</v>
      </c>
      <c r="F32" s="11" t="n">
        <v>3353078</v>
      </c>
      <c r="G32" s="12">
        <f>E32*F32</f>
        <v/>
      </c>
    </row>
    <row r="33">
      <c r="A33" s="5" t="inlineStr">
        <is>
          <t>SV002</t>
        </is>
      </c>
      <c r="B33" s="5" t="inlineStr">
        <is>
          <t>Ecocardiograma Transesofágico</t>
        </is>
      </c>
      <c r="C33" s="5" t="inlineStr">
        <is>
          <t>Sede Centro - Cali</t>
        </is>
      </c>
      <c r="D33" s="5" t="inlineStr">
        <is>
          <t>Nueva EPS</t>
        </is>
      </c>
      <c r="E33" s="6" t="n">
        <v>4</v>
      </c>
      <c r="F33" s="11" t="n">
        <v>2871882</v>
      </c>
      <c r="G33" s="12">
        <f>E33*F33</f>
        <v/>
      </c>
    </row>
    <row r="34">
      <c r="A34" s="5" t="inlineStr">
        <is>
          <t>SV003</t>
        </is>
      </c>
      <c r="B34" s="5" t="inlineStr">
        <is>
          <t>Holter 24 Horas</t>
        </is>
      </c>
      <c r="C34" s="5" t="inlineStr">
        <is>
          <t>Sede Norte - Bogotá</t>
        </is>
      </c>
      <c r="D34" s="5" t="inlineStr">
        <is>
          <t>SURA</t>
        </is>
      </c>
      <c r="E34" s="6" t="n">
        <v>34</v>
      </c>
      <c r="F34" s="11" t="n">
        <v>182306</v>
      </c>
      <c r="G34" s="12">
        <f>E34*F34</f>
        <v/>
      </c>
    </row>
    <row r="35">
      <c r="A35" s="5" t="inlineStr">
        <is>
          <t>SV003</t>
        </is>
      </c>
      <c r="B35" s="5" t="inlineStr">
        <is>
          <t>Holter 24 Horas</t>
        </is>
      </c>
      <c r="C35" s="5" t="inlineStr">
        <is>
          <t>Sede Norte - Bogotá</t>
        </is>
      </c>
      <c r="D35" s="5" t="inlineStr">
        <is>
          <t>Sanitas</t>
        </is>
      </c>
      <c r="E35" s="6" t="n">
        <v>22</v>
      </c>
      <c r="F35" s="11" t="n">
        <v>150881</v>
      </c>
      <c r="G35" s="12">
        <f>E35*F35</f>
        <v/>
      </c>
    </row>
    <row r="36">
      <c r="A36" s="5" t="inlineStr">
        <is>
          <t>SV003</t>
        </is>
      </c>
      <c r="B36" s="5" t="inlineStr">
        <is>
          <t>Holter 24 Horas</t>
        </is>
      </c>
      <c r="C36" s="5" t="inlineStr">
        <is>
          <t>Sede Norte - Bogotá</t>
        </is>
      </c>
      <c r="D36" s="5" t="inlineStr">
        <is>
          <t>Compensar</t>
        </is>
      </c>
      <c r="E36" s="6" t="n">
        <v>27</v>
      </c>
      <c r="F36" s="11" t="n">
        <v>335699</v>
      </c>
      <c r="G36" s="12">
        <f>E36*F36</f>
        <v/>
      </c>
    </row>
    <row r="37">
      <c r="A37" s="5" t="inlineStr">
        <is>
          <t>SV003</t>
        </is>
      </c>
      <c r="B37" s="5" t="inlineStr">
        <is>
          <t>Holter 24 Horas</t>
        </is>
      </c>
      <c r="C37" s="5" t="inlineStr">
        <is>
          <t>Sede Norte - Bogotá</t>
        </is>
      </c>
      <c r="D37" s="5" t="inlineStr">
        <is>
          <t>Salud Total</t>
        </is>
      </c>
      <c r="E37" s="6" t="n">
        <v>33</v>
      </c>
      <c r="F37" s="11" t="n">
        <v>155992</v>
      </c>
      <c r="G37" s="12">
        <f>E37*F37</f>
        <v/>
      </c>
    </row>
    <row r="38">
      <c r="A38" s="5" t="inlineStr">
        <is>
          <t>SV003</t>
        </is>
      </c>
      <c r="B38" s="5" t="inlineStr">
        <is>
          <t>Holter 24 Horas</t>
        </is>
      </c>
      <c r="C38" s="5" t="inlineStr">
        <is>
          <t>Sede Norte - Bogotá</t>
        </is>
      </c>
      <c r="D38" s="5" t="inlineStr">
        <is>
          <t>Nueva EPS</t>
        </is>
      </c>
      <c r="E38" s="6" t="n">
        <v>36</v>
      </c>
      <c r="F38" s="11" t="n">
        <v>156246</v>
      </c>
      <c r="G38" s="12">
        <f>E38*F38</f>
        <v/>
      </c>
    </row>
    <row r="39">
      <c r="A39" s="5" t="inlineStr">
        <is>
          <t>SV003</t>
        </is>
      </c>
      <c r="B39" s="5" t="inlineStr">
        <is>
          <t>Holter 24 Horas</t>
        </is>
      </c>
      <c r="C39" s="5" t="inlineStr">
        <is>
          <t>Sede Sur - Medellín</t>
        </is>
      </c>
      <c r="D39" s="5" t="inlineStr">
        <is>
          <t>SURA</t>
        </is>
      </c>
      <c r="E39" s="6" t="n">
        <v>24</v>
      </c>
      <c r="F39" s="11" t="n">
        <v>241543</v>
      </c>
      <c r="G39" s="12">
        <f>E39*F39</f>
        <v/>
      </c>
    </row>
    <row r="40">
      <c r="A40" s="5" t="inlineStr">
        <is>
          <t>SV003</t>
        </is>
      </c>
      <c r="B40" s="5" t="inlineStr">
        <is>
          <t>Holter 24 Horas</t>
        </is>
      </c>
      <c r="C40" s="5" t="inlineStr">
        <is>
          <t>Sede Sur - Medellín</t>
        </is>
      </c>
      <c r="D40" s="5" t="inlineStr">
        <is>
          <t>Sanitas</t>
        </is>
      </c>
      <c r="E40" s="6" t="n">
        <v>32</v>
      </c>
      <c r="F40" s="11" t="n">
        <v>210574</v>
      </c>
      <c r="G40" s="12">
        <f>E40*F40</f>
        <v/>
      </c>
    </row>
    <row r="41">
      <c r="A41" s="5" t="inlineStr">
        <is>
          <t>SV003</t>
        </is>
      </c>
      <c r="B41" s="5" t="inlineStr">
        <is>
          <t>Holter 24 Horas</t>
        </is>
      </c>
      <c r="C41" s="5" t="inlineStr">
        <is>
          <t>Sede Sur - Medellín</t>
        </is>
      </c>
      <c r="D41" s="5" t="inlineStr">
        <is>
          <t>Compensar</t>
        </is>
      </c>
      <c r="E41" s="6" t="n">
        <v>32</v>
      </c>
      <c r="F41" s="11" t="n">
        <v>133645</v>
      </c>
      <c r="G41" s="12">
        <f>E41*F41</f>
        <v/>
      </c>
    </row>
    <row r="42">
      <c r="A42" s="5" t="inlineStr">
        <is>
          <t>SV003</t>
        </is>
      </c>
      <c r="B42" s="5" t="inlineStr">
        <is>
          <t>Holter 24 Horas</t>
        </is>
      </c>
      <c r="C42" s="5" t="inlineStr">
        <is>
          <t>Sede Sur - Medellín</t>
        </is>
      </c>
      <c r="D42" s="5" t="inlineStr">
        <is>
          <t>Salud Total</t>
        </is>
      </c>
      <c r="E42" s="6" t="n">
        <v>36</v>
      </c>
      <c r="F42" s="11" t="n">
        <v>283833</v>
      </c>
      <c r="G42" s="12">
        <f>E42*F42</f>
        <v/>
      </c>
    </row>
    <row r="43">
      <c r="A43" s="5" t="inlineStr">
        <is>
          <t>SV003</t>
        </is>
      </c>
      <c r="B43" s="5" t="inlineStr">
        <is>
          <t>Holter 24 Horas</t>
        </is>
      </c>
      <c r="C43" s="5" t="inlineStr">
        <is>
          <t>Sede Sur - Medellín</t>
        </is>
      </c>
      <c r="D43" s="5" t="inlineStr">
        <is>
          <t>Nueva EPS</t>
        </is>
      </c>
      <c r="E43" s="6" t="n">
        <v>23</v>
      </c>
      <c r="F43" s="11" t="n">
        <v>147665</v>
      </c>
      <c r="G43" s="12">
        <f>E43*F43</f>
        <v/>
      </c>
    </row>
    <row r="44">
      <c r="A44" s="5" t="inlineStr">
        <is>
          <t>SV003</t>
        </is>
      </c>
      <c r="B44" s="5" t="inlineStr">
        <is>
          <t>Holter 24 Horas</t>
        </is>
      </c>
      <c r="C44" s="5" t="inlineStr">
        <is>
          <t>Sede Centro - Cali</t>
        </is>
      </c>
      <c r="D44" s="5" t="inlineStr">
        <is>
          <t>SURA</t>
        </is>
      </c>
      <c r="E44" s="6" t="n">
        <v>15</v>
      </c>
      <c r="F44" s="11" t="n">
        <v>241422</v>
      </c>
      <c r="G44" s="12">
        <f>E44*F44</f>
        <v/>
      </c>
    </row>
    <row r="45">
      <c r="A45" s="5" t="inlineStr">
        <is>
          <t>SV003</t>
        </is>
      </c>
      <c r="B45" s="5" t="inlineStr">
        <is>
          <t>Holter 24 Horas</t>
        </is>
      </c>
      <c r="C45" s="5" t="inlineStr">
        <is>
          <t>Sede Centro - Cali</t>
        </is>
      </c>
      <c r="D45" s="5" t="inlineStr">
        <is>
          <t>Sanitas</t>
        </is>
      </c>
      <c r="E45" s="6" t="n">
        <v>15</v>
      </c>
      <c r="F45" s="11" t="n">
        <v>146106</v>
      </c>
      <c r="G45" s="12">
        <f>E45*F45</f>
        <v/>
      </c>
    </row>
    <row r="46">
      <c r="A46" s="5" t="inlineStr">
        <is>
          <t>SV003</t>
        </is>
      </c>
      <c r="B46" s="5" t="inlineStr">
        <is>
          <t>Holter 24 Horas</t>
        </is>
      </c>
      <c r="C46" s="5" t="inlineStr">
        <is>
          <t>Sede Centro - Cali</t>
        </is>
      </c>
      <c r="D46" s="5" t="inlineStr">
        <is>
          <t>Compensar</t>
        </is>
      </c>
      <c r="E46" s="6" t="n">
        <v>22</v>
      </c>
      <c r="F46" s="11" t="n">
        <v>145398</v>
      </c>
      <c r="G46" s="12">
        <f>E46*F46</f>
        <v/>
      </c>
    </row>
    <row r="47">
      <c r="A47" s="5" t="inlineStr">
        <is>
          <t>SV003</t>
        </is>
      </c>
      <c r="B47" s="5" t="inlineStr">
        <is>
          <t>Holter 24 Horas</t>
        </is>
      </c>
      <c r="C47" s="5" t="inlineStr">
        <is>
          <t>Sede Centro - Cali</t>
        </is>
      </c>
      <c r="D47" s="5" t="inlineStr">
        <is>
          <t>Salud Total</t>
        </is>
      </c>
      <c r="E47" s="6" t="n">
        <v>31</v>
      </c>
      <c r="F47" s="11" t="n">
        <v>170106</v>
      </c>
      <c r="G47" s="12">
        <f>E47*F47</f>
        <v/>
      </c>
    </row>
    <row r="48">
      <c r="A48" s="5" t="inlineStr">
        <is>
          <t>SV003</t>
        </is>
      </c>
      <c r="B48" s="5" t="inlineStr">
        <is>
          <t>Holter 24 Horas</t>
        </is>
      </c>
      <c r="C48" s="5" t="inlineStr">
        <is>
          <t>Sede Centro - Cali</t>
        </is>
      </c>
      <c r="D48" s="5" t="inlineStr">
        <is>
          <t>Nueva EPS</t>
        </is>
      </c>
      <c r="E48" s="6" t="n">
        <v>17</v>
      </c>
      <c r="F48" s="11" t="n">
        <v>199570</v>
      </c>
      <c r="G48" s="12">
        <f>E48*F48</f>
        <v/>
      </c>
    </row>
    <row r="49">
      <c r="A49" s="5" t="inlineStr">
        <is>
          <t>SV004</t>
        </is>
      </c>
      <c r="B49" s="5" t="inlineStr">
        <is>
          <t>Holter 48 Horas</t>
        </is>
      </c>
      <c r="C49" s="5" t="inlineStr">
        <is>
          <t>Sede Norte - Bogotá</t>
        </is>
      </c>
      <c r="D49" s="5" t="inlineStr">
        <is>
          <t>SURA</t>
        </is>
      </c>
      <c r="E49" s="6" t="n">
        <v>40</v>
      </c>
      <c r="F49" s="11" t="n">
        <v>190390</v>
      </c>
      <c r="G49" s="12">
        <f>E49*F49</f>
        <v/>
      </c>
    </row>
    <row r="50">
      <c r="A50" s="5" t="inlineStr">
        <is>
          <t>SV004</t>
        </is>
      </c>
      <c r="B50" s="5" t="inlineStr">
        <is>
          <t>Holter 48 Horas</t>
        </is>
      </c>
      <c r="C50" s="5" t="inlineStr">
        <is>
          <t>Sede Norte - Bogotá</t>
        </is>
      </c>
      <c r="D50" s="5" t="inlineStr">
        <is>
          <t>Sanitas</t>
        </is>
      </c>
      <c r="E50" s="6" t="n">
        <v>16</v>
      </c>
      <c r="F50" s="11" t="n">
        <v>177079</v>
      </c>
      <c r="G50" s="12">
        <f>E50*F50</f>
        <v/>
      </c>
    </row>
    <row r="51">
      <c r="A51" s="5" t="inlineStr">
        <is>
          <t>SV004</t>
        </is>
      </c>
      <c r="B51" s="5" t="inlineStr">
        <is>
          <t>Holter 48 Horas</t>
        </is>
      </c>
      <c r="C51" s="5" t="inlineStr">
        <is>
          <t>Sede Norte - Bogotá</t>
        </is>
      </c>
      <c r="D51" s="5" t="inlineStr">
        <is>
          <t>Compensar</t>
        </is>
      </c>
      <c r="E51" s="6" t="n">
        <v>16</v>
      </c>
      <c r="F51" s="11" t="n">
        <v>323606</v>
      </c>
      <c r="G51" s="12">
        <f>E51*F51</f>
        <v/>
      </c>
    </row>
    <row r="52">
      <c r="A52" s="5" t="inlineStr">
        <is>
          <t>SV004</t>
        </is>
      </c>
      <c r="B52" s="5" t="inlineStr">
        <is>
          <t>Holter 48 Horas</t>
        </is>
      </c>
      <c r="C52" s="5" t="inlineStr">
        <is>
          <t>Sede Norte - Bogotá</t>
        </is>
      </c>
      <c r="D52" s="5" t="inlineStr">
        <is>
          <t>Salud Total</t>
        </is>
      </c>
      <c r="E52" s="6" t="n">
        <v>38</v>
      </c>
      <c r="F52" s="11" t="n">
        <v>348902</v>
      </c>
      <c r="G52" s="12">
        <f>E52*F52</f>
        <v/>
      </c>
    </row>
    <row r="53">
      <c r="A53" s="5" t="inlineStr">
        <is>
          <t>SV004</t>
        </is>
      </c>
      <c r="B53" s="5" t="inlineStr">
        <is>
          <t>Holter 48 Horas</t>
        </is>
      </c>
      <c r="C53" s="5" t="inlineStr">
        <is>
          <t>Sede Norte - Bogotá</t>
        </is>
      </c>
      <c r="D53" s="5" t="inlineStr">
        <is>
          <t>Nueva EPS</t>
        </is>
      </c>
      <c r="E53" s="6" t="n">
        <v>32</v>
      </c>
      <c r="F53" s="11" t="n">
        <v>178444</v>
      </c>
      <c r="G53" s="12">
        <f>E53*F53</f>
        <v/>
      </c>
    </row>
    <row r="54">
      <c r="A54" s="5" t="inlineStr">
        <is>
          <t>SV004</t>
        </is>
      </c>
      <c r="B54" s="5" t="inlineStr">
        <is>
          <t>Holter 48 Horas</t>
        </is>
      </c>
      <c r="C54" s="5" t="inlineStr">
        <is>
          <t>Sede Sur - Medellín</t>
        </is>
      </c>
      <c r="D54" s="5" t="inlineStr">
        <is>
          <t>SURA</t>
        </is>
      </c>
      <c r="E54" s="6" t="n">
        <v>26</v>
      </c>
      <c r="F54" s="11" t="n">
        <v>305075</v>
      </c>
      <c r="G54" s="12">
        <f>E54*F54</f>
        <v/>
      </c>
    </row>
    <row r="55">
      <c r="A55" s="5" t="inlineStr">
        <is>
          <t>SV004</t>
        </is>
      </c>
      <c r="B55" s="5" t="inlineStr">
        <is>
          <t>Holter 48 Horas</t>
        </is>
      </c>
      <c r="C55" s="5" t="inlineStr">
        <is>
          <t>Sede Sur - Medellín</t>
        </is>
      </c>
      <c r="D55" s="5" t="inlineStr">
        <is>
          <t>Sanitas</t>
        </is>
      </c>
      <c r="E55" s="6" t="n">
        <v>27</v>
      </c>
      <c r="F55" s="11" t="n">
        <v>242683</v>
      </c>
      <c r="G55" s="12">
        <f>E55*F55</f>
        <v/>
      </c>
    </row>
    <row r="56">
      <c r="A56" s="5" t="inlineStr">
        <is>
          <t>SV004</t>
        </is>
      </c>
      <c r="B56" s="5" t="inlineStr">
        <is>
          <t>Holter 48 Horas</t>
        </is>
      </c>
      <c r="C56" s="5" t="inlineStr">
        <is>
          <t>Sede Sur - Medellín</t>
        </is>
      </c>
      <c r="D56" s="5" t="inlineStr">
        <is>
          <t>Compensar</t>
        </is>
      </c>
      <c r="E56" s="6" t="n">
        <v>26</v>
      </c>
      <c r="F56" s="11" t="n">
        <v>175601</v>
      </c>
      <c r="G56" s="12">
        <f>E56*F56</f>
        <v/>
      </c>
    </row>
    <row r="57">
      <c r="A57" s="5" t="inlineStr">
        <is>
          <t>SV004</t>
        </is>
      </c>
      <c r="B57" s="5" t="inlineStr">
        <is>
          <t>Holter 48 Horas</t>
        </is>
      </c>
      <c r="C57" s="5" t="inlineStr">
        <is>
          <t>Sede Sur - Medellín</t>
        </is>
      </c>
      <c r="D57" s="5" t="inlineStr">
        <is>
          <t>Salud Total</t>
        </is>
      </c>
      <c r="E57" s="6" t="n">
        <v>29</v>
      </c>
      <c r="F57" s="11" t="n">
        <v>196061</v>
      </c>
      <c r="G57" s="12">
        <f>E57*F57</f>
        <v/>
      </c>
    </row>
    <row r="58">
      <c r="A58" s="5" t="inlineStr">
        <is>
          <t>SV004</t>
        </is>
      </c>
      <c r="B58" s="5" t="inlineStr">
        <is>
          <t>Holter 48 Horas</t>
        </is>
      </c>
      <c r="C58" s="5" t="inlineStr">
        <is>
          <t>Sede Sur - Medellín</t>
        </is>
      </c>
      <c r="D58" s="5" t="inlineStr">
        <is>
          <t>Nueva EPS</t>
        </is>
      </c>
      <c r="E58" s="6" t="n">
        <v>34</v>
      </c>
      <c r="F58" s="11" t="n">
        <v>334320</v>
      </c>
      <c r="G58" s="12">
        <f>E58*F58</f>
        <v/>
      </c>
    </row>
    <row r="59">
      <c r="A59" s="5" t="inlineStr">
        <is>
          <t>SV004</t>
        </is>
      </c>
      <c r="B59" s="5" t="inlineStr">
        <is>
          <t>Holter 48 Horas</t>
        </is>
      </c>
      <c r="C59" s="5" t="inlineStr">
        <is>
          <t>Sede Centro - Cali</t>
        </is>
      </c>
      <c r="D59" s="5" t="inlineStr">
        <is>
          <t>SURA</t>
        </is>
      </c>
      <c r="E59" s="6" t="n">
        <v>25</v>
      </c>
      <c r="F59" s="11" t="n">
        <v>126188</v>
      </c>
      <c r="G59" s="12">
        <f>E59*F59</f>
        <v/>
      </c>
    </row>
    <row r="60">
      <c r="A60" s="5" t="inlineStr">
        <is>
          <t>SV004</t>
        </is>
      </c>
      <c r="B60" s="5" t="inlineStr">
        <is>
          <t>Holter 48 Horas</t>
        </is>
      </c>
      <c r="C60" s="5" t="inlineStr">
        <is>
          <t>Sede Centro - Cali</t>
        </is>
      </c>
      <c r="D60" s="5" t="inlineStr">
        <is>
          <t>Sanitas</t>
        </is>
      </c>
      <c r="E60" s="6" t="n">
        <v>18</v>
      </c>
      <c r="F60" s="11" t="n">
        <v>236091</v>
      </c>
      <c r="G60" s="12">
        <f>E60*F60</f>
        <v/>
      </c>
    </row>
    <row r="61">
      <c r="A61" s="5" t="inlineStr">
        <is>
          <t>SV004</t>
        </is>
      </c>
      <c r="B61" s="5" t="inlineStr">
        <is>
          <t>Holter 48 Horas</t>
        </is>
      </c>
      <c r="C61" s="5" t="inlineStr">
        <is>
          <t>Sede Centro - Cali</t>
        </is>
      </c>
      <c r="D61" s="5" t="inlineStr">
        <is>
          <t>Compensar</t>
        </is>
      </c>
      <c r="E61" s="6" t="n">
        <v>35</v>
      </c>
      <c r="F61" s="11" t="n">
        <v>292538</v>
      </c>
      <c r="G61" s="12">
        <f>E61*F61</f>
        <v/>
      </c>
    </row>
    <row r="62">
      <c r="A62" s="5" t="inlineStr">
        <is>
          <t>SV004</t>
        </is>
      </c>
      <c r="B62" s="5" t="inlineStr">
        <is>
          <t>Holter 48 Horas</t>
        </is>
      </c>
      <c r="C62" s="5" t="inlineStr">
        <is>
          <t>Sede Centro - Cali</t>
        </is>
      </c>
      <c r="D62" s="5" t="inlineStr">
        <is>
          <t>Salud Total</t>
        </is>
      </c>
      <c r="E62" s="6" t="n">
        <v>37</v>
      </c>
      <c r="F62" s="11" t="n">
        <v>320363</v>
      </c>
      <c r="G62" s="12">
        <f>E62*F62</f>
        <v/>
      </c>
    </row>
    <row r="63">
      <c r="A63" s="5" t="inlineStr">
        <is>
          <t>SV004</t>
        </is>
      </c>
      <c r="B63" s="5" t="inlineStr">
        <is>
          <t>Holter 48 Horas</t>
        </is>
      </c>
      <c r="C63" s="5" t="inlineStr">
        <is>
          <t>Sede Centro - Cali</t>
        </is>
      </c>
      <c r="D63" s="5" t="inlineStr">
        <is>
          <t>Nueva EPS</t>
        </is>
      </c>
      <c r="E63" s="6" t="n">
        <v>15</v>
      </c>
      <c r="F63" s="11" t="n">
        <v>270494</v>
      </c>
      <c r="G63" s="12">
        <f>E63*F63</f>
        <v/>
      </c>
    </row>
    <row r="64">
      <c r="A64" s="5" t="inlineStr">
        <is>
          <t>SV005</t>
        </is>
      </c>
      <c r="B64" s="5" t="inlineStr">
        <is>
          <t>Prueba de Esfuerzo</t>
        </is>
      </c>
      <c r="C64" s="5" t="inlineStr">
        <is>
          <t>Sede Norte - Bogotá</t>
        </is>
      </c>
      <c r="D64" s="5" t="inlineStr">
        <is>
          <t>SURA</t>
        </is>
      </c>
      <c r="E64" s="6" t="n">
        <v>20</v>
      </c>
      <c r="F64" s="11" t="n">
        <v>443130</v>
      </c>
      <c r="G64" s="12">
        <f>E64*F64</f>
        <v/>
      </c>
    </row>
    <row r="65">
      <c r="A65" s="5" t="inlineStr">
        <is>
          <t>SV005</t>
        </is>
      </c>
      <c r="B65" s="5" t="inlineStr">
        <is>
          <t>Prueba de Esfuerzo</t>
        </is>
      </c>
      <c r="C65" s="5" t="inlineStr">
        <is>
          <t>Sede Norte - Bogotá</t>
        </is>
      </c>
      <c r="D65" s="5" t="inlineStr">
        <is>
          <t>Sanitas</t>
        </is>
      </c>
      <c r="E65" s="6" t="n">
        <v>11</v>
      </c>
      <c r="F65" s="11" t="n">
        <v>503060</v>
      </c>
      <c r="G65" s="12">
        <f>E65*F65</f>
        <v/>
      </c>
    </row>
    <row r="66">
      <c r="A66" s="5" t="inlineStr">
        <is>
          <t>SV005</t>
        </is>
      </c>
      <c r="B66" s="5" t="inlineStr">
        <is>
          <t>Prueba de Esfuerzo</t>
        </is>
      </c>
      <c r="C66" s="5" t="inlineStr">
        <is>
          <t>Sede Norte - Bogotá</t>
        </is>
      </c>
      <c r="D66" s="5" t="inlineStr">
        <is>
          <t>Compensar</t>
        </is>
      </c>
      <c r="E66" s="6" t="n">
        <v>14</v>
      </c>
      <c r="F66" s="11" t="n">
        <v>432255</v>
      </c>
      <c r="G66" s="12">
        <f>E66*F66</f>
        <v/>
      </c>
    </row>
    <row r="67">
      <c r="A67" s="5" t="inlineStr">
        <is>
          <t>SV005</t>
        </is>
      </c>
      <c r="B67" s="5" t="inlineStr">
        <is>
          <t>Prueba de Esfuerzo</t>
        </is>
      </c>
      <c r="C67" s="5" t="inlineStr">
        <is>
          <t>Sede Norte - Bogotá</t>
        </is>
      </c>
      <c r="D67" s="5" t="inlineStr">
        <is>
          <t>Salud Total</t>
        </is>
      </c>
      <c r="E67" s="6" t="n">
        <v>13</v>
      </c>
      <c r="F67" s="11" t="n">
        <v>370319</v>
      </c>
      <c r="G67" s="12">
        <f>E67*F67</f>
        <v/>
      </c>
    </row>
    <row r="68">
      <c r="A68" s="5" t="inlineStr">
        <is>
          <t>SV005</t>
        </is>
      </c>
      <c r="B68" s="5" t="inlineStr">
        <is>
          <t>Prueba de Esfuerzo</t>
        </is>
      </c>
      <c r="C68" s="5" t="inlineStr">
        <is>
          <t>Sede Norte - Bogotá</t>
        </is>
      </c>
      <c r="D68" s="5" t="inlineStr">
        <is>
          <t>Nueva EPS</t>
        </is>
      </c>
      <c r="E68" s="6" t="n">
        <v>10</v>
      </c>
      <c r="F68" s="11" t="n">
        <v>452740</v>
      </c>
      <c r="G68" s="12">
        <f>E68*F68</f>
        <v/>
      </c>
    </row>
    <row r="69">
      <c r="A69" s="5" t="inlineStr">
        <is>
          <t>SV005</t>
        </is>
      </c>
      <c r="B69" s="5" t="inlineStr">
        <is>
          <t>Prueba de Esfuerzo</t>
        </is>
      </c>
      <c r="C69" s="5" t="inlineStr">
        <is>
          <t>Sede Sur - Medellín</t>
        </is>
      </c>
      <c r="D69" s="5" t="inlineStr">
        <is>
          <t>SURA</t>
        </is>
      </c>
      <c r="E69" s="6" t="n">
        <v>12</v>
      </c>
      <c r="F69" s="11" t="n">
        <v>497876</v>
      </c>
      <c r="G69" s="12">
        <f>E69*F69</f>
        <v/>
      </c>
    </row>
    <row r="70">
      <c r="A70" s="5" t="inlineStr">
        <is>
          <t>SV005</t>
        </is>
      </c>
      <c r="B70" s="5" t="inlineStr">
        <is>
          <t>Prueba de Esfuerzo</t>
        </is>
      </c>
      <c r="C70" s="5" t="inlineStr">
        <is>
          <t>Sede Sur - Medellín</t>
        </is>
      </c>
      <c r="D70" s="5" t="inlineStr">
        <is>
          <t>Sanitas</t>
        </is>
      </c>
      <c r="E70" s="6" t="n">
        <v>11</v>
      </c>
      <c r="F70" s="11" t="n">
        <v>351181</v>
      </c>
      <c r="G70" s="12">
        <f>E70*F70</f>
        <v/>
      </c>
    </row>
    <row r="71">
      <c r="A71" s="5" t="inlineStr">
        <is>
          <t>SV005</t>
        </is>
      </c>
      <c r="B71" s="5" t="inlineStr">
        <is>
          <t>Prueba de Esfuerzo</t>
        </is>
      </c>
      <c r="C71" s="5" t="inlineStr">
        <is>
          <t>Sede Sur - Medellín</t>
        </is>
      </c>
      <c r="D71" s="5" t="inlineStr">
        <is>
          <t>Compensar</t>
        </is>
      </c>
      <c r="E71" s="6" t="n">
        <v>15</v>
      </c>
      <c r="F71" s="11" t="n">
        <v>433204</v>
      </c>
      <c r="G71" s="12">
        <f>E71*F71</f>
        <v/>
      </c>
    </row>
    <row r="72">
      <c r="A72" s="5" t="inlineStr">
        <is>
          <t>SV005</t>
        </is>
      </c>
      <c r="B72" s="5" t="inlineStr">
        <is>
          <t>Prueba de Esfuerzo</t>
        </is>
      </c>
      <c r="C72" s="5" t="inlineStr">
        <is>
          <t>Sede Sur - Medellín</t>
        </is>
      </c>
      <c r="D72" s="5" t="inlineStr">
        <is>
          <t>Salud Total</t>
        </is>
      </c>
      <c r="E72" s="6" t="n">
        <v>11</v>
      </c>
      <c r="F72" s="11" t="n">
        <v>526769</v>
      </c>
      <c r="G72" s="12">
        <f>E72*F72</f>
        <v/>
      </c>
    </row>
    <row r="73">
      <c r="A73" s="5" t="inlineStr">
        <is>
          <t>SV005</t>
        </is>
      </c>
      <c r="B73" s="5" t="inlineStr">
        <is>
          <t>Prueba de Esfuerzo</t>
        </is>
      </c>
      <c r="C73" s="5" t="inlineStr">
        <is>
          <t>Sede Sur - Medellín</t>
        </is>
      </c>
      <c r="D73" s="5" t="inlineStr">
        <is>
          <t>Nueva EPS</t>
        </is>
      </c>
      <c r="E73" s="6" t="n">
        <v>20</v>
      </c>
      <c r="F73" s="11" t="n">
        <v>403080</v>
      </c>
      <c r="G73" s="12">
        <f>E73*F73</f>
        <v/>
      </c>
    </row>
    <row r="74">
      <c r="A74" s="5" t="inlineStr">
        <is>
          <t>SV005</t>
        </is>
      </c>
      <c r="B74" s="5" t="inlineStr">
        <is>
          <t>Prueba de Esfuerzo</t>
        </is>
      </c>
      <c r="C74" s="5" t="inlineStr">
        <is>
          <t>Sede Centro - Cali</t>
        </is>
      </c>
      <c r="D74" s="5" t="inlineStr">
        <is>
          <t>SURA</t>
        </is>
      </c>
      <c r="E74" s="6" t="n">
        <v>13</v>
      </c>
      <c r="F74" s="11" t="n">
        <v>386037</v>
      </c>
      <c r="G74" s="12">
        <f>E74*F74</f>
        <v/>
      </c>
    </row>
    <row r="75">
      <c r="A75" s="5" t="inlineStr">
        <is>
          <t>SV005</t>
        </is>
      </c>
      <c r="B75" s="5" t="inlineStr">
        <is>
          <t>Prueba de Esfuerzo</t>
        </is>
      </c>
      <c r="C75" s="5" t="inlineStr">
        <is>
          <t>Sede Centro - Cali</t>
        </is>
      </c>
      <c r="D75" s="5" t="inlineStr">
        <is>
          <t>Sanitas</t>
        </is>
      </c>
      <c r="E75" s="6" t="n">
        <v>20</v>
      </c>
      <c r="F75" s="11" t="n">
        <v>452150</v>
      </c>
      <c r="G75" s="12">
        <f>E75*F75</f>
        <v/>
      </c>
    </row>
    <row r="76">
      <c r="A76" s="5" t="inlineStr">
        <is>
          <t>SV005</t>
        </is>
      </c>
      <c r="B76" s="5" t="inlineStr">
        <is>
          <t>Prueba de Esfuerzo</t>
        </is>
      </c>
      <c r="C76" s="5" t="inlineStr">
        <is>
          <t>Sede Centro - Cali</t>
        </is>
      </c>
      <c r="D76" s="5" t="inlineStr">
        <is>
          <t>Compensar</t>
        </is>
      </c>
      <c r="E76" s="6" t="n">
        <v>17</v>
      </c>
      <c r="F76" s="11" t="n">
        <v>525694</v>
      </c>
      <c r="G76" s="12">
        <f>E76*F76</f>
        <v/>
      </c>
    </row>
    <row r="77">
      <c r="A77" s="5" t="inlineStr">
        <is>
          <t>SV005</t>
        </is>
      </c>
      <c r="B77" s="5" t="inlineStr">
        <is>
          <t>Prueba de Esfuerzo</t>
        </is>
      </c>
      <c r="C77" s="5" t="inlineStr">
        <is>
          <t>Sede Centro - Cali</t>
        </is>
      </c>
      <c r="D77" s="5" t="inlineStr">
        <is>
          <t>Salud Total</t>
        </is>
      </c>
      <c r="E77" s="6" t="n">
        <v>17</v>
      </c>
      <c r="F77" s="11" t="n">
        <v>519090</v>
      </c>
      <c r="G77" s="12">
        <f>E77*F77</f>
        <v/>
      </c>
    </row>
    <row r="78">
      <c r="A78" s="5" t="inlineStr">
        <is>
          <t>SV005</t>
        </is>
      </c>
      <c r="B78" s="5" t="inlineStr">
        <is>
          <t>Prueba de Esfuerzo</t>
        </is>
      </c>
      <c r="C78" s="5" t="inlineStr">
        <is>
          <t>Sede Centro - Cali</t>
        </is>
      </c>
      <c r="D78" s="5" t="inlineStr">
        <is>
          <t>Nueva EPS</t>
        </is>
      </c>
      <c r="E78" s="6" t="n">
        <v>13</v>
      </c>
      <c r="F78" s="11" t="n">
        <v>254340</v>
      </c>
      <c r="G78" s="12">
        <f>E78*F78</f>
        <v/>
      </c>
    </row>
    <row r="79">
      <c r="A79" s="5" t="inlineStr">
        <is>
          <t>SV006</t>
        </is>
      </c>
      <c r="B79" s="5" t="inlineStr">
        <is>
          <t>Electrocardiograma</t>
        </is>
      </c>
      <c r="C79" s="5" t="inlineStr">
        <is>
          <t>Sede Norte - Bogotá</t>
        </is>
      </c>
      <c r="D79" s="5" t="inlineStr">
        <is>
          <t>SURA</t>
        </is>
      </c>
      <c r="E79" s="6" t="n">
        <v>31</v>
      </c>
      <c r="F79" s="11" t="n">
        <v>313222</v>
      </c>
      <c r="G79" s="12">
        <f>E79*F79</f>
        <v/>
      </c>
    </row>
    <row r="80">
      <c r="A80" s="5" t="inlineStr">
        <is>
          <t>SV006</t>
        </is>
      </c>
      <c r="B80" s="5" t="inlineStr">
        <is>
          <t>Electrocardiograma</t>
        </is>
      </c>
      <c r="C80" s="5" t="inlineStr">
        <is>
          <t>Sede Norte - Bogotá</t>
        </is>
      </c>
      <c r="D80" s="5" t="inlineStr">
        <is>
          <t>Sanitas</t>
        </is>
      </c>
      <c r="E80" s="6" t="n">
        <v>26</v>
      </c>
      <c r="F80" s="11" t="n">
        <v>178249</v>
      </c>
      <c r="G80" s="12">
        <f>E80*F80</f>
        <v/>
      </c>
    </row>
    <row r="81">
      <c r="A81" s="5" t="inlineStr">
        <is>
          <t>SV006</t>
        </is>
      </c>
      <c r="B81" s="5" t="inlineStr">
        <is>
          <t>Electrocardiograma</t>
        </is>
      </c>
      <c r="C81" s="5" t="inlineStr">
        <is>
          <t>Sede Norte - Bogotá</t>
        </is>
      </c>
      <c r="D81" s="5" t="inlineStr">
        <is>
          <t>Compensar</t>
        </is>
      </c>
      <c r="E81" s="6" t="n">
        <v>29</v>
      </c>
      <c r="F81" s="11" t="n">
        <v>204267</v>
      </c>
      <c r="G81" s="12">
        <f>E81*F81</f>
        <v/>
      </c>
    </row>
    <row r="82">
      <c r="A82" s="5" t="inlineStr">
        <is>
          <t>SV006</t>
        </is>
      </c>
      <c r="B82" s="5" t="inlineStr">
        <is>
          <t>Electrocardiograma</t>
        </is>
      </c>
      <c r="C82" s="5" t="inlineStr">
        <is>
          <t>Sede Norte - Bogotá</t>
        </is>
      </c>
      <c r="D82" s="5" t="inlineStr">
        <is>
          <t>Salud Total</t>
        </is>
      </c>
      <c r="E82" s="6" t="n">
        <v>25</v>
      </c>
      <c r="F82" s="11" t="n">
        <v>284153</v>
      </c>
      <c r="G82" s="12">
        <f>E82*F82</f>
        <v/>
      </c>
    </row>
    <row r="83">
      <c r="A83" s="5" t="inlineStr">
        <is>
          <t>SV006</t>
        </is>
      </c>
      <c r="B83" s="5" t="inlineStr">
        <is>
          <t>Electrocardiograma</t>
        </is>
      </c>
      <c r="C83" s="5" t="inlineStr">
        <is>
          <t>Sede Norte - Bogotá</t>
        </is>
      </c>
      <c r="D83" s="5" t="inlineStr">
        <is>
          <t>Nueva EPS</t>
        </is>
      </c>
      <c r="E83" s="6" t="n">
        <v>34</v>
      </c>
      <c r="F83" s="11" t="n">
        <v>324216</v>
      </c>
      <c r="G83" s="12">
        <f>E83*F83</f>
        <v/>
      </c>
    </row>
    <row r="84">
      <c r="A84" s="5" t="inlineStr">
        <is>
          <t>SV006</t>
        </is>
      </c>
      <c r="B84" s="5" t="inlineStr">
        <is>
          <t>Electrocardiograma</t>
        </is>
      </c>
      <c r="C84" s="5" t="inlineStr">
        <is>
          <t>Sede Sur - Medellín</t>
        </is>
      </c>
      <c r="D84" s="5" t="inlineStr">
        <is>
          <t>SURA</t>
        </is>
      </c>
      <c r="E84" s="6" t="n">
        <v>37</v>
      </c>
      <c r="F84" s="11" t="n">
        <v>348387</v>
      </c>
      <c r="G84" s="12">
        <f>E84*F84</f>
        <v/>
      </c>
    </row>
    <row r="85">
      <c r="A85" s="5" t="inlineStr">
        <is>
          <t>SV006</t>
        </is>
      </c>
      <c r="B85" s="5" t="inlineStr">
        <is>
          <t>Electrocardiograma</t>
        </is>
      </c>
      <c r="C85" s="5" t="inlineStr">
        <is>
          <t>Sede Sur - Medellín</t>
        </is>
      </c>
      <c r="D85" s="5" t="inlineStr">
        <is>
          <t>Sanitas</t>
        </is>
      </c>
      <c r="E85" s="6" t="n">
        <v>31</v>
      </c>
      <c r="F85" s="11" t="n">
        <v>139862</v>
      </c>
      <c r="G85" s="12">
        <f>E85*F85</f>
        <v/>
      </c>
    </row>
    <row r="86">
      <c r="A86" s="5" t="inlineStr">
        <is>
          <t>SV006</t>
        </is>
      </c>
      <c r="B86" s="5" t="inlineStr">
        <is>
          <t>Electrocardiograma</t>
        </is>
      </c>
      <c r="C86" s="5" t="inlineStr">
        <is>
          <t>Sede Sur - Medellín</t>
        </is>
      </c>
      <c r="D86" s="5" t="inlineStr">
        <is>
          <t>Compensar</t>
        </is>
      </c>
      <c r="E86" s="6" t="n">
        <v>27</v>
      </c>
      <c r="F86" s="11" t="n">
        <v>192085</v>
      </c>
      <c r="G86" s="12">
        <f>E86*F86</f>
        <v/>
      </c>
    </row>
    <row r="87">
      <c r="A87" s="5" t="inlineStr">
        <is>
          <t>SV006</t>
        </is>
      </c>
      <c r="B87" s="5" t="inlineStr">
        <is>
          <t>Electrocardiograma</t>
        </is>
      </c>
      <c r="C87" s="5" t="inlineStr">
        <is>
          <t>Sede Sur - Medellín</t>
        </is>
      </c>
      <c r="D87" s="5" t="inlineStr">
        <is>
          <t>Salud Total</t>
        </is>
      </c>
      <c r="E87" s="6" t="n">
        <v>18</v>
      </c>
      <c r="F87" s="11" t="n">
        <v>242617</v>
      </c>
      <c r="G87" s="12">
        <f>E87*F87</f>
        <v/>
      </c>
    </row>
    <row r="88">
      <c r="A88" s="5" t="inlineStr">
        <is>
          <t>SV006</t>
        </is>
      </c>
      <c r="B88" s="5" t="inlineStr">
        <is>
          <t>Electrocardiograma</t>
        </is>
      </c>
      <c r="C88" s="5" t="inlineStr">
        <is>
          <t>Sede Sur - Medellín</t>
        </is>
      </c>
      <c r="D88" s="5" t="inlineStr">
        <is>
          <t>Nueva EPS</t>
        </is>
      </c>
      <c r="E88" s="6" t="n">
        <v>36</v>
      </c>
      <c r="F88" s="11" t="n">
        <v>214658</v>
      </c>
      <c r="G88" s="12">
        <f>E88*F88</f>
        <v/>
      </c>
    </row>
    <row r="89">
      <c r="A89" s="5" t="inlineStr">
        <is>
          <t>SV006</t>
        </is>
      </c>
      <c r="B89" s="5" t="inlineStr">
        <is>
          <t>Electrocardiograma</t>
        </is>
      </c>
      <c r="C89" s="5" t="inlineStr">
        <is>
          <t>Sede Centro - Cali</t>
        </is>
      </c>
      <c r="D89" s="5" t="inlineStr">
        <is>
          <t>SURA</t>
        </is>
      </c>
      <c r="E89" s="6" t="n">
        <v>32</v>
      </c>
      <c r="F89" s="11" t="n">
        <v>158512</v>
      </c>
      <c r="G89" s="12">
        <f>E89*F89</f>
        <v/>
      </c>
    </row>
    <row r="90">
      <c r="A90" s="5" t="inlineStr">
        <is>
          <t>SV006</t>
        </is>
      </c>
      <c r="B90" s="5" t="inlineStr">
        <is>
          <t>Electrocardiograma</t>
        </is>
      </c>
      <c r="C90" s="5" t="inlineStr">
        <is>
          <t>Sede Centro - Cali</t>
        </is>
      </c>
      <c r="D90" s="5" t="inlineStr">
        <is>
          <t>Sanitas</t>
        </is>
      </c>
      <c r="E90" s="6" t="n">
        <v>22</v>
      </c>
      <c r="F90" s="11" t="n">
        <v>201484</v>
      </c>
      <c r="G90" s="12">
        <f>E90*F90</f>
        <v/>
      </c>
    </row>
    <row r="91">
      <c r="A91" s="5" t="inlineStr">
        <is>
          <t>SV006</t>
        </is>
      </c>
      <c r="B91" s="5" t="inlineStr">
        <is>
          <t>Electrocardiograma</t>
        </is>
      </c>
      <c r="C91" s="5" t="inlineStr">
        <is>
          <t>Sede Centro - Cali</t>
        </is>
      </c>
      <c r="D91" s="5" t="inlineStr">
        <is>
          <t>Compensar</t>
        </is>
      </c>
      <c r="E91" s="6" t="n">
        <v>17</v>
      </c>
      <c r="F91" s="11" t="n">
        <v>253352</v>
      </c>
      <c r="G91" s="12">
        <f>E91*F91</f>
        <v/>
      </c>
    </row>
    <row r="92">
      <c r="A92" s="5" t="inlineStr">
        <is>
          <t>SV006</t>
        </is>
      </c>
      <c r="B92" s="5" t="inlineStr">
        <is>
          <t>Electrocardiograma</t>
        </is>
      </c>
      <c r="C92" s="5" t="inlineStr">
        <is>
          <t>Sede Centro - Cali</t>
        </is>
      </c>
      <c r="D92" s="5" t="inlineStr">
        <is>
          <t>Salud Total</t>
        </is>
      </c>
      <c r="E92" s="6" t="n">
        <v>15</v>
      </c>
      <c r="F92" s="11" t="n">
        <v>165883</v>
      </c>
      <c r="G92" s="12">
        <f>E92*F92</f>
        <v/>
      </c>
    </row>
    <row r="93">
      <c r="A93" s="5" t="inlineStr">
        <is>
          <t>SV006</t>
        </is>
      </c>
      <c r="B93" s="5" t="inlineStr">
        <is>
          <t>Electrocardiograma</t>
        </is>
      </c>
      <c r="C93" s="5" t="inlineStr">
        <is>
          <t>Sede Centro - Cali</t>
        </is>
      </c>
      <c r="D93" s="5" t="inlineStr">
        <is>
          <t>Nueva EPS</t>
        </is>
      </c>
      <c r="E93" s="6" t="n">
        <v>18</v>
      </c>
      <c r="F93" s="11" t="n">
        <v>246327</v>
      </c>
      <c r="G93" s="12">
        <f>E93*F93</f>
        <v/>
      </c>
    </row>
    <row r="94">
      <c r="A94" s="5" t="inlineStr">
        <is>
          <t>SV007</t>
        </is>
      </c>
      <c r="B94" s="5" t="inlineStr">
        <is>
          <t>MAPA 24 Horas</t>
        </is>
      </c>
      <c r="C94" s="5" t="inlineStr">
        <is>
          <t>Sede Norte - Bogotá</t>
        </is>
      </c>
      <c r="D94" s="5" t="inlineStr">
        <is>
          <t>SURA</t>
        </is>
      </c>
      <c r="E94" s="6" t="n">
        <v>30</v>
      </c>
      <c r="F94" s="11" t="n">
        <v>136426</v>
      </c>
      <c r="G94" s="12">
        <f>E94*F94</f>
        <v/>
      </c>
    </row>
    <row r="95">
      <c r="A95" s="5" t="inlineStr">
        <is>
          <t>SV007</t>
        </is>
      </c>
      <c r="B95" s="5" t="inlineStr">
        <is>
          <t>MAPA 24 Horas</t>
        </is>
      </c>
      <c r="C95" s="5" t="inlineStr">
        <is>
          <t>Sede Norte - Bogotá</t>
        </is>
      </c>
      <c r="D95" s="5" t="inlineStr">
        <is>
          <t>Sanitas</t>
        </is>
      </c>
      <c r="E95" s="6" t="n">
        <v>36</v>
      </c>
      <c r="F95" s="11" t="n">
        <v>128148</v>
      </c>
      <c r="G95" s="12">
        <f>E95*F95</f>
        <v/>
      </c>
    </row>
    <row r="96">
      <c r="A96" s="5" t="inlineStr">
        <is>
          <t>SV007</t>
        </is>
      </c>
      <c r="B96" s="5" t="inlineStr">
        <is>
          <t>MAPA 24 Horas</t>
        </is>
      </c>
      <c r="C96" s="5" t="inlineStr">
        <is>
          <t>Sede Norte - Bogotá</t>
        </is>
      </c>
      <c r="D96" s="5" t="inlineStr">
        <is>
          <t>Compensar</t>
        </is>
      </c>
      <c r="E96" s="6" t="n">
        <v>24</v>
      </c>
      <c r="F96" s="11" t="n">
        <v>274463</v>
      </c>
      <c r="G96" s="12">
        <f>E96*F96</f>
        <v/>
      </c>
    </row>
    <row r="97">
      <c r="A97" s="5" t="inlineStr">
        <is>
          <t>SV007</t>
        </is>
      </c>
      <c r="B97" s="5" t="inlineStr">
        <is>
          <t>MAPA 24 Horas</t>
        </is>
      </c>
      <c r="C97" s="5" t="inlineStr">
        <is>
          <t>Sede Norte - Bogotá</t>
        </is>
      </c>
      <c r="D97" s="5" t="inlineStr">
        <is>
          <t>Salud Total</t>
        </is>
      </c>
      <c r="E97" s="6" t="n">
        <v>32</v>
      </c>
      <c r="F97" s="11" t="n">
        <v>180161</v>
      </c>
      <c r="G97" s="12">
        <f>E97*F97</f>
        <v/>
      </c>
    </row>
    <row r="98">
      <c r="A98" s="5" t="inlineStr">
        <is>
          <t>SV007</t>
        </is>
      </c>
      <c r="B98" s="5" t="inlineStr">
        <is>
          <t>MAPA 24 Horas</t>
        </is>
      </c>
      <c r="C98" s="5" t="inlineStr">
        <is>
          <t>Sede Norte - Bogotá</t>
        </is>
      </c>
      <c r="D98" s="5" t="inlineStr">
        <is>
          <t>Nueva EPS</t>
        </is>
      </c>
      <c r="E98" s="6" t="n">
        <v>24</v>
      </c>
      <c r="F98" s="11" t="n">
        <v>220701</v>
      </c>
      <c r="G98" s="12">
        <f>E98*F98</f>
        <v/>
      </c>
    </row>
    <row r="99">
      <c r="A99" s="5" t="inlineStr">
        <is>
          <t>SV007</t>
        </is>
      </c>
      <c r="B99" s="5" t="inlineStr">
        <is>
          <t>MAPA 24 Horas</t>
        </is>
      </c>
      <c r="C99" s="5" t="inlineStr">
        <is>
          <t>Sede Sur - Medellín</t>
        </is>
      </c>
      <c r="D99" s="5" t="inlineStr">
        <is>
          <t>SURA</t>
        </is>
      </c>
      <c r="E99" s="6" t="n">
        <v>16</v>
      </c>
      <c r="F99" s="11" t="n">
        <v>177200</v>
      </c>
      <c r="G99" s="12">
        <f>E99*F99</f>
        <v/>
      </c>
    </row>
    <row r="100">
      <c r="A100" s="5" t="inlineStr">
        <is>
          <t>SV007</t>
        </is>
      </c>
      <c r="B100" s="5" t="inlineStr">
        <is>
          <t>MAPA 24 Horas</t>
        </is>
      </c>
      <c r="C100" s="5" t="inlineStr">
        <is>
          <t>Sede Sur - Medellín</t>
        </is>
      </c>
      <c r="D100" s="5" t="inlineStr">
        <is>
          <t>Sanitas</t>
        </is>
      </c>
      <c r="E100" s="6" t="n">
        <v>27</v>
      </c>
      <c r="F100" s="11" t="n">
        <v>227173</v>
      </c>
      <c r="G100" s="12">
        <f>E100*F100</f>
        <v/>
      </c>
    </row>
    <row r="101">
      <c r="A101" s="5" t="inlineStr">
        <is>
          <t>SV007</t>
        </is>
      </c>
      <c r="B101" s="5" t="inlineStr">
        <is>
          <t>MAPA 24 Horas</t>
        </is>
      </c>
      <c r="C101" s="5" t="inlineStr">
        <is>
          <t>Sede Sur - Medellín</t>
        </is>
      </c>
      <c r="D101" s="5" t="inlineStr">
        <is>
          <t>Compensar</t>
        </is>
      </c>
      <c r="E101" s="6" t="n">
        <v>19</v>
      </c>
      <c r="F101" s="11" t="n">
        <v>261873</v>
      </c>
      <c r="G101" s="12">
        <f>E101*F101</f>
        <v/>
      </c>
    </row>
    <row r="102">
      <c r="A102" s="5" t="inlineStr">
        <is>
          <t>SV007</t>
        </is>
      </c>
      <c r="B102" s="5" t="inlineStr">
        <is>
          <t>MAPA 24 Horas</t>
        </is>
      </c>
      <c r="C102" s="5" t="inlineStr">
        <is>
          <t>Sede Sur - Medellín</t>
        </is>
      </c>
      <c r="D102" s="5" t="inlineStr">
        <is>
          <t>Salud Total</t>
        </is>
      </c>
      <c r="E102" s="6" t="n">
        <v>38</v>
      </c>
      <c r="F102" s="11" t="n">
        <v>177667</v>
      </c>
      <c r="G102" s="12">
        <f>E102*F102</f>
        <v/>
      </c>
    </row>
    <row r="103">
      <c r="A103" s="5" t="inlineStr">
        <is>
          <t>SV007</t>
        </is>
      </c>
      <c r="B103" s="5" t="inlineStr">
        <is>
          <t>MAPA 24 Horas</t>
        </is>
      </c>
      <c r="C103" s="5" t="inlineStr">
        <is>
          <t>Sede Sur - Medellín</t>
        </is>
      </c>
      <c r="D103" s="5" t="inlineStr">
        <is>
          <t>Nueva EPS</t>
        </is>
      </c>
      <c r="E103" s="6" t="n">
        <v>36</v>
      </c>
      <c r="F103" s="11" t="n">
        <v>323206</v>
      </c>
      <c r="G103" s="12">
        <f>E103*F103</f>
        <v/>
      </c>
    </row>
    <row r="104">
      <c r="A104" s="5" t="inlineStr">
        <is>
          <t>SV007</t>
        </is>
      </c>
      <c r="B104" s="5" t="inlineStr">
        <is>
          <t>MAPA 24 Horas</t>
        </is>
      </c>
      <c r="C104" s="5" t="inlineStr">
        <is>
          <t>Sede Centro - Cali</t>
        </is>
      </c>
      <c r="D104" s="5" t="inlineStr">
        <is>
          <t>SURA</t>
        </is>
      </c>
      <c r="E104" s="6" t="n">
        <v>32</v>
      </c>
      <c r="F104" s="11" t="n">
        <v>311031</v>
      </c>
      <c r="G104" s="12">
        <f>E104*F104</f>
        <v/>
      </c>
    </row>
    <row r="105">
      <c r="A105" s="5" t="inlineStr">
        <is>
          <t>SV007</t>
        </is>
      </c>
      <c r="B105" s="5" t="inlineStr">
        <is>
          <t>MAPA 24 Horas</t>
        </is>
      </c>
      <c r="C105" s="5" t="inlineStr">
        <is>
          <t>Sede Centro - Cali</t>
        </is>
      </c>
      <c r="D105" s="5" t="inlineStr">
        <is>
          <t>Sanitas</t>
        </is>
      </c>
      <c r="E105" s="6" t="n">
        <v>34</v>
      </c>
      <c r="F105" s="11" t="n">
        <v>327350</v>
      </c>
      <c r="G105" s="12">
        <f>E105*F105</f>
        <v/>
      </c>
    </row>
    <row r="106">
      <c r="A106" s="5" t="inlineStr">
        <is>
          <t>SV007</t>
        </is>
      </c>
      <c r="B106" s="5" t="inlineStr">
        <is>
          <t>MAPA 24 Horas</t>
        </is>
      </c>
      <c r="C106" s="5" t="inlineStr">
        <is>
          <t>Sede Centro - Cali</t>
        </is>
      </c>
      <c r="D106" s="5" t="inlineStr">
        <is>
          <t>Compensar</t>
        </is>
      </c>
      <c r="E106" s="6" t="n">
        <v>17</v>
      </c>
      <c r="F106" s="11" t="n">
        <v>221133</v>
      </c>
      <c r="G106" s="12">
        <f>E106*F106</f>
        <v/>
      </c>
    </row>
    <row r="107">
      <c r="A107" s="5" t="inlineStr">
        <is>
          <t>SV007</t>
        </is>
      </c>
      <c r="B107" s="5" t="inlineStr">
        <is>
          <t>MAPA 24 Horas</t>
        </is>
      </c>
      <c r="C107" s="5" t="inlineStr">
        <is>
          <t>Sede Centro - Cali</t>
        </is>
      </c>
      <c r="D107" s="5" t="inlineStr">
        <is>
          <t>Salud Total</t>
        </is>
      </c>
      <c r="E107" s="6" t="n">
        <v>19</v>
      </c>
      <c r="F107" s="11" t="n">
        <v>140780</v>
      </c>
      <c r="G107" s="12">
        <f>E107*F107</f>
        <v/>
      </c>
    </row>
    <row r="108">
      <c r="A108" s="5" t="inlineStr">
        <is>
          <t>SV007</t>
        </is>
      </c>
      <c r="B108" s="5" t="inlineStr">
        <is>
          <t>MAPA 24 Horas</t>
        </is>
      </c>
      <c r="C108" s="5" t="inlineStr">
        <is>
          <t>Sede Centro - Cali</t>
        </is>
      </c>
      <c r="D108" s="5" t="inlineStr">
        <is>
          <t>Nueva EPS</t>
        </is>
      </c>
      <c r="E108" s="6" t="n">
        <v>17</v>
      </c>
      <c r="F108" s="11" t="n">
        <v>142426</v>
      </c>
      <c r="G108" s="12">
        <f>E108*F108</f>
        <v/>
      </c>
    </row>
    <row r="109">
      <c r="A109" s="5" t="inlineStr">
        <is>
          <t>SV008</t>
        </is>
      </c>
      <c r="B109" s="5" t="inlineStr">
        <is>
          <t>Ecocardiograma Doppler</t>
        </is>
      </c>
      <c r="C109" s="5" t="inlineStr">
        <is>
          <t>Sede Norte - Bogotá</t>
        </is>
      </c>
      <c r="D109" s="5" t="inlineStr">
        <is>
          <t>SURA</t>
        </is>
      </c>
      <c r="E109" s="6" t="n">
        <v>21</v>
      </c>
      <c r="F109" s="11" t="n">
        <v>194888</v>
      </c>
      <c r="G109" s="12">
        <f>E109*F109</f>
        <v/>
      </c>
    </row>
    <row r="110">
      <c r="A110" s="5" t="inlineStr">
        <is>
          <t>SV008</t>
        </is>
      </c>
      <c r="B110" s="5" t="inlineStr">
        <is>
          <t>Ecocardiograma Doppler</t>
        </is>
      </c>
      <c r="C110" s="5" t="inlineStr">
        <is>
          <t>Sede Norte - Bogotá</t>
        </is>
      </c>
      <c r="D110" s="5" t="inlineStr">
        <is>
          <t>Sanitas</t>
        </is>
      </c>
      <c r="E110" s="6" t="n">
        <v>32</v>
      </c>
      <c r="F110" s="11" t="n">
        <v>144810</v>
      </c>
      <c r="G110" s="12">
        <f>E110*F110</f>
        <v/>
      </c>
    </row>
    <row r="111">
      <c r="A111" s="5" t="inlineStr">
        <is>
          <t>SV008</t>
        </is>
      </c>
      <c r="B111" s="5" t="inlineStr">
        <is>
          <t>Ecocardiograma Doppler</t>
        </is>
      </c>
      <c r="C111" s="5" t="inlineStr">
        <is>
          <t>Sede Norte - Bogotá</t>
        </is>
      </c>
      <c r="D111" s="5" t="inlineStr">
        <is>
          <t>Compensar</t>
        </is>
      </c>
      <c r="E111" s="6" t="n">
        <v>16</v>
      </c>
      <c r="F111" s="11" t="n">
        <v>164172</v>
      </c>
      <c r="G111" s="12">
        <f>E111*F111</f>
        <v/>
      </c>
    </row>
    <row r="112">
      <c r="A112" s="5" t="inlineStr">
        <is>
          <t>SV008</t>
        </is>
      </c>
      <c r="B112" s="5" t="inlineStr">
        <is>
          <t>Ecocardiograma Doppler</t>
        </is>
      </c>
      <c r="C112" s="5" t="inlineStr">
        <is>
          <t>Sede Norte - Bogotá</t>
        </is>
      </c>
      <c r="D112" s="5" t="inlineStr">
        <is>
          <t>Salud Total</t>
        </is>
      </c>
      <c r="E112" s="6" t="n">
        <v>38</v>
      </c>
      <c r="F112" s="11" t="n">
        <v>247170</v>
      </c>
      <c r="G112" s="12">
        <f>E112*F112</f>
        <v/>
      </c>
    </row>
    <row r="113">
      <c r="A113" s="5" t="inlineStr">
        <is>
          <t>SV008</t>
        </is>
      </c>
      <c r="B113" s="5" t="inlineStr">
        <is>
          <t>Ecocardiograma Doppler</t>
        </is>
      </c>
      <c r="C113" s="5" t="inlineStr">
        <is>
          <t>Sede Norte - Bogotá</t>
        </is>
      </c>
      <c r="D113" s="5" t="inlineStr">
        <is>
          <t>Nueva EPS</t>
        </is>
      </c>
      <c r="E113" s="6" t="n">
        <v>40</v>
      </c>
      <c r="F113" s="11" t="n">
        <v>272848</v>
      </c>
      <c r="G113" s="12">
        <f>E113*F113</f>
        <v/>
      </c>
    </row>
    <row r="114">
      <c r="A114" s="5" t="inlineStr">
        <is>
          <t>SV008</t>
        </is>
      </c>
      <c r="B114" s="5" t="inlineStr">
        <is>
          <t>Ecocardiograma Doppler</t>
        </is>
      </c>
      <c r="C114" s="5" t="inlineStr">
        <is>
          <t>Sede Sur - Medellín</t>
        </is>
      </c>
      <c r="D114" s="5" t="inlineStr">
        <is>
          <t>SURA</t>
        </is>
      </c>
      <c r="E114" s="6" t="n">
        <v>24</v>
      </c>
      <c r="F114" s="11" t="n">
        <v>345447</v>
      </c>
      <c r="G114" s="12">
        <f>E114*F114</f>
        <v/>
      </c>
    </row>
    <row r="115">
      <c r="A115" s="5" t="inlineStr">
        <is>
          <t>SV008</t>
        </is>
      </c>
      <c r="B115" s="5" t="inlineStr">
        <is>
          <t>Ecocardiograma Doppler</t>
        </is>
      </c>
      <c r="C115" s="5" t="inlineStr">
        <is>
          <t>Sede Sur - Medellín</t>
        </is>
      </c>
      <c r="D115" s="5" t="inlineStr">
        <is>
          <t>Sanitas</t>
        </is>
      </c>
      <c r="E115" s="6" t="n">
        <v>39</v>
      </c>
      <c r="F115" s="11" t="n">
        <v>190029</v>
      </c>
      <c r="G115" s="12">
        <f>E115*F115</f>
        <v/>
      </c>
    </row>
    <row r="116">
      <c r="A116" s="5" t="inlineStr">
        <is>
          <t>SV008</t>
        </is>
      </c>
      <c r="B116" s="5" t="inlineStr">
        <is>
          <t>Ecocardiograma Doppler</t>
        </is>
      </c>
      <c r="C116" s="5" t="inlineStr">
        <is>
          <t>Sede Sur - Medellín</t>
        </is>
      </c>
      <c r="D116" s="5" t="inlineStr">
        <is>
          <t>Compensar</t>
        </is>
      </c>
      <c r="E116" s="6" t="n">
        <v>40</v>
      </c>
      <c r="F116" s="11" t="n">
        <v>141539</v>
      </c>
      <c r="G116" s="12">
        <f>E116*F116</f>
        <v/>
      </c>
    </row>
    <row r="117">
      <c r="A117" s="5" t="inlineStr">
        <is>
          <t>SV008</t>
        </is>
      </c>
      <c r="B117" s="5" t="inlineStr">
        <is>
          <t>Ecocardiograma Doppler</t>
        </is>
      </c>
      <c r="C117" s="5" t="inlineStr">
        <is>
          <t>Sede Sur - Medellín</t>
        </is>
      </c>
      <c r="D117" s="5" t="inlineStr">
        <is>
          <t>Salud Total</t>
        </is>
      </c>
      <c r="E117" s="6" t="n">
        <v>18</v>
      </c>
      <c r="F117" s="11" t="n">
        <v>182093</v>
      </c>
      <c r="G117" s="12">
        <f>E117*F117</f>
        <v/>
      </c>
    </row>
    <row r="118">
      <c r="A118" s="5" t="inlineStr">
        <is>
          <t>SV008</t>
        </is>
      </c>
      <c r="B118" s="5" t="inlineStr">
        <is>
          <t>Ecocardiograma Doppler</t>
        </is>
      </c>
      <c r="C118" s="5" t="inlineStr">
        <is>
          <t>Sede Sur - Medellín</t>
        </is>
      </c>
      <c r="D118" s="5" t="inlineStr">
        <is>
          <t>Nueva EPS</t>
        </is>
      </c>
      <c r="E118" s="6" t="n">
        <v>19</v>
      </c>
      <c r="F118" s="11" t="n">
        <v>234397</v>
      </c>
      <c r="G118" s="12">
        <f>E118*F118</f>
        <v/>
      </c>
    </row>
    <row r="119">
      <c r="A119" s="5" t="inlineStr">
        <is>
          <t>SV008</t>
        </is>
      </c>
      <c r="B119" s="5" t="inlineStr">
        <is>
          <t>Ecocardiograma Doppler</t>
        </is>
      </c>
      <c r="C119" s="5" t="inlineStr">
        <is>
          <t>Sede Centro - Cali</t>
        </is>
      </c>
      <c r="D119" s="5" t="inlineStr">
        <is>
          <t>SURA</t>
        </is>
      </c>
      <c r="E119" s="6" t="n">
        <v>38</v>
      </c>
      <c r="F119" s="11" t="n">
        <v>315632</v>
      </c>
      <c r="G119" s="12">
        <f>E119*F119</f>
        <v/>
      </c>
    </row>
    <row r="120">
      <c r="A120" s="5" t="inlineStr">
        <is>
          <t>SV008</t>
        </is>
      </c>
      <c r="B120" s="5" t="inlineStr">
        <is>
          <t>Ecocardiograma Doppler</t>
        </is>
      </c>
      <c r="C120" s="5" t="inlineStr">
        <is>
          <t>Sede Centro - Cali</t>
        </is>
      </c>
      <c r="D120" s="5" t="inlineStr">
        <is>
          <t>Sanitas</t>
        </is>
      </c>
      <c r="E120" s="6" t="n">
        <v>22</v>
      </c>
      <c r="F120" s="11" t="n">
        <v>268647</v>
      </c>
      <c r="G120" s="12">
        <f>E120*F120</f>
        <v/>
      </c>
    </row>
    <row r="121">
      <c r="A121" s="5" t="inlineStr">
        <is>
          <t>SV008</t>
        </is>
      </c>
      <c r="B121" s="5" t="inlineStr">
        <is>
          <t>Ecocardiograma Doppler</t>
        </is>
      </c>
      <c r="C121" s="5" t="inlineStr">
        <is>
          <t>Sede Centro - Cali</t>
        </is>
      </c>
      <c r="D121" s="5" t="inlineStr">
        <is>
          <t>Compensar</t>
        </is>
      </c>
      <c r="E121" s="6" t="n">
        <v>30</v>
      </c>
      <c r="F121" s="11" t="n">
        <v>289583</v>
      </c>
      <c r="G121" s="12">
        <f>E121*F121</f>
        <v/>
      </c>
    </row>
    <row r="122">
      <c r="A122" s="5" t="inlineStr">
        <is>
          <t>SV008</t>
        </is>
      </c>
      <c r="B122" s="5" t="inlineStr">
        <is>
          <t>Ecocardiograma Doppler</t>
        </is>
      </c>
      <c r="C122" s="5" t="inlineStr">
        <is>
          <t>Sede Centro - Cali</t>
        </is>
      </c>
      <c r="D122" s="5" t="inlineStr">
        <is>
          <t>Salud Total</t>
        </is>
      </c>
      <c r="E122" s="6" t="n">
        <v>28</v>
      </c>
      <c r="F122" s="11" t="n">
        <v>142647</v>
      </c>
      <c r="G122" s="12">
        <f>E122*F122</f>
        <v/>
      </c>
    </row>
    <row r="123">
      <c r="A123" s="5" t="inlineStr">
        <is>
          <t>SV008</t>
        </is>
      </c>
      <c r="B123" s="5" t="inlineStr">
        <is>
          <t>Ecocardiograma Doppler</t>
        </is>
      </c>
      <c r="C123" s="5" t="inlineStr">
        <is>
          <t>Sede Centro - Cali</t>
        </is>
      </c>
      <c r="D123" s="5" t="inlineStr">
        <is>
          <t>Nueva EPS</t>
        </is>
      </c>
      <c r="E123" s="6" t="n">
        <v>32</v>
      </c>
      <c r="F123" s="11" t="n">
        <v>340163</v>
      </c>
      <c r="G123" s="12">
        <f>E123*F123</f>
        <v/>
      </c>
    </row>
    <row r="124">
      <c r="A124" s="5" t="inlineStr">
        <is>
          <t>SV009</t>
        </is>
      </c>
      <c r="B124" s="5" t="inlineStr">
        <is>
          <t>Ecocardiograma de Estrés</t>
        </is>
      </c>
      <c r="C124" s="5" t="inlineStr">
        <is>
          <t>Sede Norte - Bogotá</t>
        </is>
      </c>
      <c r="D124" s="5" t="inlineStr">
        <is>
          <t>SURA</t>
        </is>
      </c>
      <c r="E124" s="6" t="n">
        <v>14</v>
      </c>
      <c r="F124" s="11" t="n">
        <v>332597</v>
      </c>
      <c r="G124" s="12">
        <f>E124*F124</f>
        <v/>
      </c>
    </row>
    <row r="125">
      <c r="A125" s="5" t="inlineStr">
        <is>
          <t>SV009</t>
        </is>
      </c>
      <c r="B125" s="5" t="inlineStr">
        <is>
          <t>Ecocardiograma de Estrés</t>
        </is>
      </c>
      <c r="C125" s="5" t="inlineStr">
        <is>
          <t>Sede Norte - Bogotá</t>
        </is>
      </c>
      <c r="D125" s="5" t="inlineStr">
        <is>
          <t>Sanitas</t>
        </is>
      </c>
      <c r="E125" s="6" t="n">
        <v>13</v>
      </c>
      <c r="F125" s="11" t="n">
        <v>306451</v>
      </c>
      <c r="G125" s="12">
        <f>E125*F125</f>
        <v/>
      </c>
    </row>
    <row r="126">
      <c r="A126" s="5" t="inlineStr">
        <is>
          <t>SV009</t>
        </is>
      </c>
      <c r="B126" s="5" t="inlineStr">
        <is>
          <t>Ecocardiograma de Estrés</t>
        </is>
      </c>
      <c r="C126" s="5" t="inlineStr">
        <is>
          <t>Sede Norte - Bogotá</t>
        </is>
      </c>
      <c r="D126" s="5" t="inlineStr">
        <is>
          <t>Compensar</t>
        </is>
      </c>
      <c r="E126" s="6" t="n">
        <v>17</v>
      </c>
      <c r="F126" s="11" t="n">
        <v>401033</v>
      </c>
      <c r="G126" s="12">
        <f>E126*F126</f>
        <v/>
      </c>
    </row>
    <row r="127">
      <c r="A127" s="5" t="inlineStr">
        <is>
          <t>SV009</t>
        </is>
      </c>
      <c r="B127" s="5" t="inlineStr">
        <is>
          <t>Ecocardiograma de Estrés</t>
        </is>
      </c>
      <c r="C127" s="5" t="inlineStr">
        <is>
          <t>Sede Norte - Bogotá</t>
        </is>
      </c>
      <c r="D127" s="5" t="inlineStr">
        <is>
          <t>Salud Total</t>
        </is>
      </c>
      <c r="E127" s="6" t="n">
        <v>14</v>
      </c>
      <c r="F127" s="11" t="n">
        <v>264652</v>
      </c>
      <c r="G127" s="12">
        <f>E127*F127</f>
        <v/>
      </c>
    </row>
    <row r="128">
      <c r="A128" s="5" t="inlineStr">
        <is>
          <t>SV009</t>
        </is>
      </c>
      <c r="B128" s="5" t="inlineStr">
        <is>
          <t>Ecocardiograma de Estrés</t>
        </is>
      </c>
      <c r="C128" s="5" t="inlineStr">
        <is>
          <t>Sede Norte - Bogotá</t>
        </is>
      </c>
      <c r="D128" s="5" t="inlineStr">
        <is>
          <t>Nueva EPS</t>
        </is>
      </c>
      <c r="E128" s="6" t="n">
        <v>12</v>
      </c>
      <c r="F128" s="11" t="n">
        <v>364108</v>
      </c>
      <c r="G128" s="12">
        <f>E128*F128</f>
        <v/>
      </c>
    </row>
    <row r="129">
      <c r="A129" s="5" t="inlineStr">
        <is>
          <t>SV009</t>
        </is>
      </c>
      <c r="B129" s="5" t="inlineStr">
        <is>
          <t>Ecocardiograma de Estrés</t>
        </is>
      </c>
      <c r="C129" s="5" t="inlineStr">
        <is>
          <t>Sede Sur - Medellín</t>
        </is>
      </c>
      <c r="D129" s="5" t="inlineStr">
        <is>
          <t>SURA</t>
        </is>
      </c>
      <c r="E129" s="6" t="n">
        <v>11</v>
      </c>
      <c r="F129" s="11" t="n">
        <v>529253</v>
      </c>
      <c r="G129" s="12">
        <f>E129*F129</f>
        <v/>
      </c>
    </row>
    <row r="130">
      <c r="A130" s="5" t="inlineStr">
        <is>
          <t>SV009</t>
        </is>
      </c>
      <c r="B130" s="5" t="inlineStr">
        <is>
          <t>Ecocardiograma de Estrés</t>
        </is>
      </c>
      <c r="C130" s="5" t="inlineStr">
        <is>
          <t>Sede Sur - Medellín</t>
        </is>
      </c>
      <c r="D130" s="5" t="inlineStr">
        <is>
          <t>Sanitas</t>
        </is>
      </c>
      <c r="E130" s="6" t="n">
        <v>11</v>
      </c>
      <c r="F130" s="11" t="n">
        <v>297377</v>
      </c>
      <c r="G130" s="12">
        <f>E130*F130</f>
        <v/>
      </c>
    </row>
    <row r="131">
      <c r="A131" s="5" t="inlineStr">
        <is>
          <t>SV009</t>
        </is>
      </c>
      <c r="B131" s="5" t="inlineStr">
        <is>
          <t>Ecocardiograma de Estrés</t>
        </is>
      </c>
      <c r="C131" s="5" t="inlineStr">
        <is>
          <t>Sede Sur - Medellín</t>
        </is>
      </c>
      <c r="D131" s="5" t="inlineStr">
        <is>
          <t>Compensar</t>
        </is>
      </c>
      <c r="E131" s="6" t="n">
        <v>16</v>
      </c>
      <c r="F131" s="11" t="n">
        <v>410279</v>
      </c>
      <c r="G131" s="12">
        <f>E131*F131</f>
        <v/>
      </c>
    </row>
    <row r="132">
      <c r="A132" s="5" t="inlineStr">
        <is>
          <t>SV009</t>
        </is>
      </c>
      <c r="B132" s="5" t="inlineStr">
        <is>
          <t>Ecocardiograma de Estrés</t>
        </is>
      </c>
      <c r="C132" s="5" t="inlineStr">
        <is>
          <t>Sede Sur - Medellín</t>
        </is>
      </c>
      <c r="D132" s="5" t="inlineStr">
        <is>
          <t>Salud Total</t>
        </is>
      </c>
      <c r="E132" s="6" t="n">
        <v>14</v>
      </c>
      <c r="F132" s="11" t="n">
        <v>341639</v>
      </c>
      <c r="G132" s="12">
        <f>E132*F132</f>
        <v/>
      </c>
    </row>
    <row r="133">
      <c r="A133" s="5" t="inlineStr">
        <is>
          <t>SV009</t>
        </is>
      </c>
      <c r="B133" s="5" t="inlineStr">
        <is>
          <t>Ecocardiograma de Estrés</t>
        </is>
      </c>
      <c r="C133" s="5" t="inlineStr">
        <is>
          <t>Sede Sur - Medellín</t>
        </is>
      </c>
      <c r="D133" s="5" t="inlineStr">
        <is>
          <t>Nueva EPS</t>
        </is>
      </c>
      <c r="E133" s="6" t="n">
        <v>13</v>
      </c>
      <c r="F133" s="11" t="n">
        <v>266452</v>
      </c>
      <c r="G133" s="12">
        <f>E133*F133</f>
        <v/>
      </c>
    </row>
    <row r="134">
      <c r="A134" s="5" t="inlineStr">
        <is>
          <t>SV009</t>
        </is>
      </c>
      <c r="B134" s="5" t="inlineStr">
        <is>
          <t>Ecocardiograma de Estrés</t>
        </is>
      </c>
      <c r="C134" s="5" t="inlineStr">
        <is>
          <t>Sede Centro - Cali</t>
        </is>
      </c>
      <c r="D134" s="5" t="inlineStr">
        <is>
          <t>SURA</t>
        </is>
      </c>
      <c r="E134" s="6" t="n">
        <v>20</v>
      </c>
      <c r="F134" s="11" t="n">
        <v>411380</v>
      </c>
      <c r="G134" s="12">
        <f>E134*F134</f>
        <v/>
      </c>
    </row>
    <row r="135">
      <c r="A135" s="5" t="inlineStr">
        <is>
          <t>SV009</t>
        </is>
      </c>
      <c r="B135" s="5" t="inlineStr">
        <is>
          <t>Ecocardiograma de Estrés</t>
        </is>
      </c>
      <c r="C135" s="5" t="inlineStr">
        <is>
          <t>Sede Centro - Cali</t>
        </is>
      </c>
      <c r="D135" s="5" t="inlineStr">
        <is>
          <t>Sanitas</t>
        </is>
      </c>
      <c r="E135" s="6" t="n">
        <v>13</v>
      </c>
      <c r="F135" s="11" t="n">
        <v>305477</v>
      </c>
      <c r="G135" s="12">
        <f>E135*F135</f>
        <v/>
      </c>
    </row>
    <row r="136">
      <c r="A136" s="5" t="inlineStr">
        <is>
          <t>SV009</t>
        </is>
      </c>
      <c r="B136" s="5" t="inlineStr">
        <is>
          <t>Ecocardiograma de Estrés</t>
        </is>
      </c>
      <c r="C136" s="5" t="inlineStr">
        <is>
          <t>Sede Centro - Cali</t>
        </is>
      </c>
      <c r="D136" s="5" t="inlineStr">
        <is>
          <t>Compensar</t>
        </is>
      </c>
      <c r="E136" s="6" t="n">
        <v>17</v>
      </c>
      <c r="F136" s="11" t="n">
        <v>542114</v>
      </c>
      <c r="G136" s="12">
        <f>E136*F136</f>
        <v/>
      </c>
    </row>
    <row r="137">
      <c r="A137" s="5" t="inlineStr">
        <is>
          <t>SV009</t>
        </is>
      </c>
      <c r="B137" s="5" t="inlineStr">
        <is>
          <t>Ecocardiograma de Estrés</t>
        </is>
      </c>
      <c r="C137" s="5" t="inlineStr">
        <is>
          <t>Sede Centro - Cali</t>
        </is>
      </c>
      <c r="D137" s="5" t="inlineStr">
        <is>
          <t>Salud Total</t>
        </is>
      </c>
      <c r="E137" s="6" t="n">
        <v>12</v>
      </c>
      <c r="F137" s="11" t="n">
        <v>336652</v>
      </c>
      <c r="G137" s="12">
        <f>E137*F137</f>
        <v/>
      </c>
    </row>
    <row r="138">
      <c r="A138" s="5" t="inlineStr">
        <is>
          <t>SV009</t>
        </is>
      </c>
      <c r="B138" s="5" t="inlineStr">
        <is>
          <t>Ecocardiograma de Estrés</t>
        </is>
      </c>
      <c r="C138" s="5" t="inlineStr">
        <is>
          <t>Sede Centro - Cali</t>
        </is>
      </c>
      <c r="D138" s="5" t="inlineStr">
        <is>
          <t>Nueva EPS</t>
        </is>
      </c>
      <c r="E138" s="6" t="n">
        <v>12</v>
      </c>
      <c r="F138" s="11" t="n">
        <v>362901</v>
      </c>
      <c r="G138" s="12">
        <f>E138*F138</f>
        <v/>
      </c>
    </row>
    <row r="139">
      <c r="A139" s="5" t="inlineStr">
        <is>
          <t>SV010</t>
        </is>
      </c>
      <c r="B139" s="5" t="inlineStr">
        <is>
          <t>Tilt Test</t>
        </is>
      </c>
      <c r="C139" s="5" t="inlineStr">
        <is>
          <t>Sede Norte - Bogotá</t>
        </is>
      </c>
      <c r="D139" s="5" t="inlineStr">
        <is>
          <t>SURA</t>
        </is>
      </c>
      <c r="E139" s="6" t="n">
        <v>17</v>
      </c>
      <c r="F139" s="11" t="n">
        <v>472146</v>
      </c>
      <c r="G139" s="12">
        <f>E139*F139</f>
        <v/>
      </c>
    </row>
    <row r="140">
      <c r="A140" s="5" t="inlineStr">
        <is>
          <t>SV010</t>
        </is>
      </c>
      <c r="B140" s="5" t="inlineStr">
        <is>
          <t>Tilt Test</t>
        </is>
      </c>
      <c r="C140" s="5" t="inlineStr">
        <is>
          <t>Sede Norte - Bogotá</t>
        </is>
      </c>
      <c r="D140" s="5" t="inlineStr">
        <is>
          <t>Sanitas</t>
        </is>
      </c>
      <c r="E140" s="6" t="n">
        <v>18</v>
      </c>
      <c r="F140" s="11" t="n">
        <v>314315</v>
      </c>
      <c r="G140" s="12">
        <f>E140*F140</f>
        <v/>
      </c>
    </row>
    <row r="141">
      <c r="A141" s="5" t="inlineStr">
        <is>
          <t>SV010</t>
        </is>
      </c>
      <c r="B141" s="5" t="inlineStr">
        <is>
          <t>Tilt Test</t>
        </is>
      </c>
      <c r="C141" s="5" t="inlineStr">
        <is>
          <t>Sede Norte - Bogotá</t>
        </is>
      </c>
      <c r="D141" s="5" t="inlineStr">
        <is>
          <t>Compensar</t>
        </is>
      </c>
      <c r="E141" s="6" t="n">
        <v>11</v>
      </c>
      <c r="F141" s="11" t="n">
        <v>427850</v>
      </c>
      <c r="G141" s="12">
        <f>E141*F141</f>
        <v/>
      </c>
    </row>
    <row r="142">
      <c r="A142" s="5" t="inlineStr">
        <is>
          <t>SV010</t>
        </is>
      </c>
      <c r="B142" s="5" t="inlineStr">
        <is>
          <t>Tilt Test</t>
        </is>
      </c>
      <c r="C142" s="5" t="inlineStr">
        <is>
          <t>Sede Norte - Bogotá</t>
        </is>
      </c>
      <c r="D142" s="5" t="inlineStr">
        <is>
          <t>Salud Total</t>
        </is>
      </c>
      <c r="E142" s="6" t="n">
        <v>19</v>
      </c>
      <c r="F142" s="11" t="n">
        <v>336590</v>
      </c>
      <c r="G142" s="12">
        <f>E142*F142</f>
        <v/>
      </c>
    </row>
    <row r="143">
      <c r="A143" s="5" t="inlineStr">
        <is>
          <t>SV010</t>
        </is>
      </c>
      <c r="B143" s="5" t="inlineStr">
        <is>
          <t>Tilt Test</t>
        </is>
      </c>
      <c r="C143" s="5" t="inlineStr">
        <is>
          <t>Sede Norte - Bogotá</t>
        </is>
      </c>
      <c r="D143" s="5" t="inlineStr">
        <is>
          <t>Nueva EPS</t>
        </is>
      </c>
      <c r="E143" s="6" t="n">
        <v>17</v>
      </c>
      <c r="F143" s="11" t="n">
        <v>399763</v>
      </c>
      <c r="G143" s="12">
        <f>E143*F143</f>
        <v/>
      </c>
    </row>
    <row r="144">
      <c r="A144" s="5" t="inlineStr">
        <is>
          <t>SV010</t>
        </is>
      </c>
      <c r="B144" s="5" t="inlineStr">
        <is>
          <t>Tilt Test</t>
        </is>
      </c>
      <c r="C144" s="5" t="inlineStr">
        <is>
          <t>Sede Sur - Medellín</t>
        </is>
      </c>
      <c r="D144" s="5" t="inlineStr">
        <is>
          <t>SURA</t>
        </is>
      </c>
      <c r="E144" s="6" t="n">
        <v>12</v>
      </c>
      <c r="F144" s="11" t="n">
        <v>509588</v>
      </c>
      <c r="G144" s="12">
        <f>E144*F144</f>
        <v/>
      </c>
    </row>
    <row r="145">
      <c r="A145" s="5" t="inlineStr">
        <is>
          <t>SV010</t>
        </is>
      </c>
      <c r="B145" s="5" t="inlineStr">
        <is>
          <t>Tilt Test</t>
        </is>
      </c>
      <c r="C145" s="5" t="inlineStr">
        <is>
          <t>Sede Sur - Medellín</t>
        </is>
      </c>
      <c r="D145" s="5" t="inlineStr">
        <is>
          <t>Sanitas</t>
        </is>
      </c>
      <c r="E145" s="6" t="n">
        <v>12</v>
      </c>
      <c r="F145" s="11" t="n">
        <v>490041</v>
      </c>
      <c r="G145" s="12">
        <f>E145*F145</f>
        <v/>
      </c>
    </row>
    <row r="146">
      <c r="A146" s="5" t="inlineStr">
        <is>
          <t>SV010</t>
        </is>
      </c>
      <c r="B146" s="5" t="inlineStr">
        <is>
          <t>Tilt Test</t>
        </is>
      </c>
      <c r="C146" s="5" t="inlineStr">
        <is>
          <t>Sede Sur - Medellín</t>
        </is>
      </c>
      <c r="D146" s="5" t="inlineStr">
        <is>
          <t>Compensar</t>
        </is>
      </c>
      <c r="E146" s="6" t="n">
        <v>17</v>
      </c>
      <c r="F146" s="11" t="n">
        <v>537859</v>
      </c>
      <c r="G146" s="12">
        <f>E146*F146</f>
        <v/>
      </c>
    </row>
    <row r="147">
      <c r="A147" s="5" t="inlineStr">
        <is>
          <t>SV010</t>
        </is>
      </c>
      <c r="B147" s="5" t="inlineStr">
        <is>
          <t>Tilt Test</t>
        </is>
      </c>
      <c r="C147" s="5" t="inlineStr">
        <is>
          <t>Sede Sur - Medellín</t>
        </is>
      </c>
      <c r="D147" s="5" t="inlineStr">
        <is>
          <t>Salud Total</t>
        </is>
      </c>
      <c r="E147" s="6" t="n">
        <v>20</v>
      </c>
      <c r="F147" s="11" t="n">
        <v>543300</v>
      </c>
      <c r="G147" s="12">
        <f>E147*F147</f>
        <v/>
      </c>
    </row>
    <row r="148">
      <c r="A148" s="5" t="inlineStr">
        <is>
          <t>SV010</t>
        </is>
      </c>
      <c r="B148" s="5" t="inlineStr">
        <is>
          <t>Tilt Test</t>
        </is>
      </c>
      <c r="C148" s="5" t="inlineStr">
        <is>
          <t>Sede Sur - Medellín</t>
        </is>
      </c>
      <c r="D148" s="5" t="inlineStr">
        <is>
          <t>Nueva EPS</t>
        </is>
      </c>
      <c r="E148" s="6" t="n">
        <v>14</v>
      </c>
      <c r="F148" s="11" t="n">
        <v>264871</v>
      </c>
      <c r="G148" s="12">
        <f>E148*F148</f>
        <v/>
      </c>
    </row>
    <row r="149">
      <c r="A149" s="5" t="inlineStr">
        <is>
          <t>SV010</t>
        </is>
      </c>
      <c r="B149" s="5" t="inlineStr">
        <is>
          <t>Tilt Test</t>
        </is>
      </c>
      <c r="C149" s="5" t="inlineStr">
        <is>
          <t>Sede Centro - Cali</t>
        </is>
      </c>
      <c r="D149" s="5" t="inlineStr">
        <is>
          <t>SURA</t>
        </is>
      </c>
      <c r="E149" s="6" t="n">
        <v>13</v>
      </c>
      <c r="F149" s="11" t="n">
        <v>509080</v>
      </c>
      <c r="G149" s="12">
        <f>E149*F149</f>
        <v/>
      </c>
    </row>
    <row r="150">
      <c r="A150" s="5" t="inlineStr">
        <is>
          <t>SV010</t>
        </is>
      </c>
      <c r="B150" s="5" t="inlineStr">
        <is>
          <t>Tilt Test</t>
        </is>
      </c>
      <c r="C150" s="5" t="inlineStr">
        <is>
          <t>Sede Centro - Cali</t>
        </is>
      </c>
      <c r="D150" s="5" t="inlineStr">
        <is>
          <t>Sanitas</t>
        </is>
      </c>
      <c r="E150" s="6" t="n">
        <v>19</v>
      </c>
      <c r="F150" s="11" t="n">
        <v>281758</v>
      </c>
      <c r="G150" s="12">
        <f>E150*F150</f>
        <v/>
      </c>
    </row>
    <row r="151">
      <c r="A151" s="5" t="inlineStr">
        <is>
          <t>SV010</t>
        </is>
      </c>
      <c r="B151" s="5" t="inlineStr">
        <is>
          <t>Tilt Test</t>
        </is>
      </c>
      <c r="C151" s="5" t="inlineStr">
        <is>
          <t>Sede Centro - Cali</t>
        </is>
      </c>
      <c r="D151" s="5" t="inlineStr">
        <is>
          <t>Compensar</t>
        </is>
      </c>
      <c r="E151" s="6" t="n">
        <v>13</v>
      </c>
      <c r="F151" s="11" t="n">
        <v>432314</v>
      </c>
      <c r="G151" s="12">
        <f>E151*F151</f>
        <v/>
      </c>
    </row>
    <row r="152">
      <c r="A152" s="5" t="inlineStr">
        <is>
          <t>SV010</t>
        </is>
      </c>
      <c r="B152" s="5" t="inlineStr">
        <is>
          <t>Tilt Test</t>
        </is>
      </c>
      <c r="C152" s="5" t="inlineStr">
        <is>
          <t>Sede Centro - Cali</t>
        </is>
      </c>
      <c r="D152" s="5" t="inlineStr">
        <is>
          <t>Salud Total</t>
        </is>
      </c>
      <c r="E152" s="6" t="n">
        <v>10</v>
      </c>
      <c r="F152" s="11" t="n">
        <v>273509</v>
      </c>
      <c r="G152" s="12">
        <f>E152*F152</f>
        <v/>
      </c>
    </row>
    <row r="153">
      <c r="A153" s="5" t="inlineStr">
        <is>
          <t>SV010</t>
        </is>
      </c>
      <c r="B153" s="5" t="inlineStr">
        <is>
          <t>Tilt Test</t>
        </is>
      </c>
      <c r="C153" s="5" t="inlineStr">
        <is>
          <t>Sede Centro - Cali</t>
        </is>
      </c>
      <c r="D153" s="5" t="inlineStr">
        <is>
          <t>Nueva EPS</t>
        </is>
      </c>
      <c r="E153" s="6" t="n">
        <v>19</v>
      </c>
      <c r="F153" s="11" t="n">
        <v>442169</v>
      </c>
      <c r="G153" s="12">
        <f>E153*F153</f>
        <v/>
      </c>
    </row>
    <row r="154">
      <c r="A154" s="5" t="inlineStr">
        <is>
          <t>SV011</t>
        </is>
      </c>
      <c r="B154" s="5" t="inlineStr">
        <is>
          <t>Estudio Electrofisiológico</t>
        </is>
      </c>
      <c r="C154" s="5" t="inlineStr">
        <is>
          <t>Sede Norte - Bogotá</t>
        </is>
      </c>
      <c r="D154" s="5" t="inlineStr">
        <is>
          <t>SURA</t>
        </is>
      </c>
      <c r="E154" s="6" t="n">
        <v>3</v>
      </c>
      <c r="F154" s="11" t="n">
        <v>3053528</v>
      </c>
      <c r="G154" s="12">
        <f>E154*F154</f>
        <v/>
      </c>
    </row>
    <row r="155">
      <c r="A155" s="5" t="inlineStr">
        <is>
          <t>SV011</t>
        </is>
      </c>
      <c r="B155" s="5" t="inlineStr">
        <is>
          <t>Estudio Electrofisiológico</t>
        </is>
      </c>
      <c r="C155" s="5" t="inlineStr">
        <is>
          <t>Sede Norte - Bogotá</t>
        </is>
      </c>
      <c r="D155" s="5" t="inlineStr">
        <is>
          <t>Sanitas</t>
        </is>
      </c>
      <c r="E155" s="6" t="n">
        <v>3</v>
      </c>
      <c r="F155" s="11" t="n">
        <v>1508081</v>
      </c>
      <c r="G155" s="12">
        <f>E155*F155</f>
        <v/>
      </c>
    </row>
    <row r="156">
      <c r="A156" s="5" t="inlineStr">
        <is>
          <t>SV011</t>
        </is>
      </c>
      <c r="B156" s="5" t="inlineStr">
        <is>
          <t>Estudio Electrofisiológico</t>
        </is>
      </c>
      <c r="C156" s="5" t="inlineStr">
        <is>
          <t>Sede Norte - Bogotá</t>
        </is>
      </c>
      <c r="D156" s="5" t="inlineStr">
        <is>
          <t>Compensar</t>
        </is>
      </c>
      <c r="E156" s="6" t="n">
        <v>2</v>
      </c>
      <c r="F156" s="11" t="n">
        <v>2012850</v>
      </c>
      <c r="G156" s="12">
        <f>E156*F156</f>
        <v/>
      </c>
    </row>
    <row r="157">
      <c r="A157" s="5" t="inlineStr">
        <is>
          <t>SV011</t>
        </is>
      </c>
      <c r="B157" s="5" t="inlineStr">
        <is>
          <t>Estudio Electrofisiológico</t>
        </is>
      </c>
      <c r="C157" s="5" t="inlineStr">
        <is>
          <t>Sede Norte - Bogotá</t>
        </is>
      </c>
      <c r="D157" s="5" t="inlineStr">
        <is>
          <t>Salud Total</t>
        </is>
      </c>
      <c r="E157" s="6" t="n">
        <v>4</v>
      </c>
      <c r="F157" s="11" t="n">
        <v>2970419</v>
      </c>
      <c r="G157" s="12">
        <f>E157*F157</f>
        <v/>
      </c>
    </row>
    <row r="158">
      <c r="A158" s="5" t="inlineStr">
        <is>
          <t>SV011</t>
        </is>
      </c>
      <c r="B158" s="5" t="inlineStr">
        <is>
          <t>Estudio Electrofisiológico</t>
        </is>
      </c>
      <c r="C158" s="5" t="inlineStr">
        <is>
          <t>Sede Norte - Bogotá</t>
        </is>
      </c>
      <c r="D158" s="5" t="inlineStr">
        <is>
          <t>Nueva EPS</t>
        </is>
      </c>
      <c r="E158" s="6" t="n">
        <v>5</v>
      </c>
      <c r="F158" s="11" t="n">
        <v>2444287</v>
      </c>
      <c r="G158" s="12">
        <f>E158*F158</f>
        <v/>
      </c>
    </row>
    <row r="159">
      <c r="A159" s="5" t="inlineStr">
        <is>
          <t>SV011</t>
        </is>
      </c>
      <c r="B159" s="5" t="inlineStr">
        <is>
          <t>Estudio Electrofisiológico</t>
        </is>
      </c>
      <c r="C159" s="5" t="inlineStr">
        <is>
          <t>Sede Sur - Medellín</t>
        </is>
      </c>
      <c r="D159" s="5" t="inlineStr">
        <is>
          <t>SURA</t>
        </is>
      </c>
      <c r="E159" s="6" t="n">
        <v>4</v>
      </c>
      <c r="F159" s="11" t="n">
        <v>2736333</v>
      </c>
      <c r="G159" s="12">
        <f>E159*F159</f>
        <v/>
      </c>
    </row>
    <row r="160">
      <c r="A160" s="5" t="inlineStr">
        <is>
          <t>SV011</t>
        </is>
      </c>
      <c r="B160" s="5" t="inlineStr">
        <is>
          <t>Estudio Electrofisiológico</t>
        </is>
      </c>
      <c r="C160" s="5" t="inlineStr">
        <is>
          <t>Sede Sur - Medellín</t>
        </is>
      </c>
      <c r="D160" s="5" t="inlineStr">
        <is>
          <t>Sanitas</t>
        </is>
      </c>
      <c r="E160" s="6" t="n">
        <v>5</v>
      </c>
      <c r="F160" s="11" t="n">
        <v>3376876</v>
      </c>
      <c r="G160" s="12">
        <f>E160*F160</f>
        <v/>
      </c>
    </row>
    <row r="161">
      <c r="A161" s="5" t="inlineStr">
        <is>
          <t>SV011</t>
        </is>
      </c>
      <c r="B161" s="5" t="inlineStr">
        <is>
          <t>Estudio Electrofisiológico</t>
        </is>
      </c>
      <c r="C161" s="5" t="inlineStr">
        <is>
          <t>Sede Sur - Medellín</t>
        </is>
      </c>
      <c r="D161" s="5" t="inlineStr">
        <is>
          <t>Compensar</t>
        </is>
      </c>
      <c r="E161" s="6" t="n">
        <v>2</v>
      </c>
      <c r="F161" s="11" t="n">
        <v>2859624</v>
      </c>
      <c r="G161" s="12">
        <f>E161*F161</f>
        <v/>
      </c>
    </row>
    <row r="162">
      <c r="A162" s="5" t="inlineStr">
        <is>
          <t>SV011</t>
        </is>
      </c>
      <c r="B162" s="5" t="inlineStr">
        <is>
          <t>Estudio Electrofisiológico</t>
        </is>
      </c>
      <c r="C162" s="5" t="inlineStr">
        <is>
          <t>Sede Sur - Medellín</t>
        </is>
      </c>
      <c r="D162" s="5" t="inlineStr">
        <is>
          <t>Salud Total</t>
        </is>
      </c>
      <c r="E162" s="6" t="n">
        <v>4</v>
      </c>
      <c r="F162" s="11" t="n">
        <v>3309546</v>
      </c>
      <c r="G162" s="12">
        <f>E162*F162</f>
        <v/>
      </c>
    </row>
    <row r="163">
      <c r="A163" s="5" t="inlineStr">
        <is>
          <t>SV011</t>
        </is>
      </c>
      <c r="B163" s="5" t="inlineStr">
        <is>
          <t>Estudio Electrofisiológico</t>
        </is>
      </c>
      <c r="C163" s="5" t="inlineStr">
        <is>
          <t>Sede Sur - Medellín</t>
        </is>
      </c>
      <c r="D163" s="5" t="inlineStr">
        <is>
          <t>Nueva EPS</t>
        </is>
      </c>
      <c r="E163" s="6" t="n">
        <v>2</v>
      </c>
      <c r="F163" s="11" t="n">
        <v>3300574</v>
      </c>
      <c r="G163" s="12">
        <f>E163*F163</f>
        <v/>
      </c>
    </row>
    <row r="164">
      <c r="A164" s="5" t="inlineStr">
        <is>
          <t>SV011</t>
        </is>
      </c>
      <c r="B164" s="5" t="inlineStr">
        <is>
          <t>Estudio Electrofisiológico</t>
        </is>
      </c>
      <c r="C164" s="5" t="inlineStr">
        <is>
          <t>Sede Centro - Cali</t>
        </is>
      </c>
      <c r="D164" s="5" t="inlineStr">
        <is>
          <t>SURA</t>
        </is>
      </c>
      <c r="E164" s="6" t="n">
        <v>2</v>
      </c>
      <c r="F164" s="11" t="n">
        <v>2078765</v>
      </c>
      <c r="G164" s="12">
        <f>E164*F164</f>
        <v/>
      </c>
    </row>
    <row r="165">
      <c r="A165" s="5" t="inlineStr">
        <is>
          <t>SV011</t>
        </is>
      </c>
      <c r="B165" s="5" t="inlineStr">
        <is>
          <t>Estudio Electrofisiológico</t>
        </is>
      </c>
      <c r="C165" s="5" t="inlineStr">
        <is>
          <t>Sede Centro - Cali</t>
        </is>
      </c>
      <c r="D165" s="5" t="inlineStr">
        <is>
          <t>Sanitas</t>
        </is>
      </c>
      <c r="E165" s="6" t="n">
        <v>3</v>
      </c>
      <c r="F165" s="11" t="n">
        <v>1791063</v>
      </c>
      <c r="G165" s="12">
        <f>E165*F165</f>
        <v/>
      </c>
    </row>
    <row r="166">
      <c r="A166" s="5" t="inlineStr">
        <is>
          <t>SV011</t>
        </is>
      </c>
      <c r="B166" s="5" t="inlineStr">
        <is>
          <t>Estudio Electrofisiológico</t>
        </is>
      </c>
      <c r="C166" s="5" t="inlineStr">
        <is>
          <t>Sede Centro - Cali</t>
        </is>
      </c>
      <c r="D166" s="5" t="inlineStr">
        <is>
          <t>Compensar</t>
        </is>
      </c>
      <c r="E166" s="6" t="n">
        <v>4</v>
      </c>
      <c r="F166" s="11" t="n">
        <v>2757119</v>
      </c>
      <c r="G166" s="12">
        <f>E166*F166</f>
        <v/>
      </c>
    </row>
    <row r="167">
      <c r="A167" s="5" t="inlineStr">
        <is>
          <t>SV011</t>
        </is>
      </c>
      <c r="B167" s="5" t="inlineStr">
        <is>
          <t>Estudio Electrofisiológico</t>
        </is>
      </c>
      <c r="C167" s="5" t="inlineStr">
        <is>
          <t>Sede Centro - Cali</t>
        </is>
      </c>
      <c r="D167" s="5" t="inlineStr">
        <is>
          <t>Salud Total</t>
        </is>
      </c>
      <c r="E167" s="6" t="n">
        <v>6</v>
      </c>
      <c r="F167" s="11" t="n">
        <v>1875056</v>
      </c>
      <c r="G167" s="12">
        <f>E167*F167</f>
        <v/>
      </c>
    </row>
    <row r="168">
      <c r="A168" s="5" t="inlineStr">
        <is>
          <t>SV011</t>
        </is>
      </c>
      <c r="B168" s="5" t="inlineStr">
        <is>
          <t>Estudio Electrofisiológico</t>
        </is>
      </c>
      <c r="C168" s="5" t="inlineStr">
        <is>
          <t>Sede Centro - Cali</t>
        </is>
      </c>
      <c r="D168" s="5" t="inlineStr">
        <is>
          <t>Nueva EPS</t>
        </is>
      </c>
      <c r="E168" s="6" t="n">
        <v>3</v>
      </c>
      <c r="F168" s="11" t="n">
        <v>2354436</v>
      </c>
      <c r="G168" s="12">
        <f>E168*F168</f>
        <v/>
      </c>
    </row>
    <row r="169">
      <c r="A169" s="5" t="inlineStr">
        <is>
          <t>SV012</t>
        </is>
      </c>
      <c r="B169" s="5" t="inlineStr">
        <is>
          <t>Cardioversión Eléctrica</t>
        </is>
      </c>
      <c r="C169" s="5" t="inlineStr">
        <is>
          <t>Sede Norte - Bogotá</t>
        </is>
      </c>
      <c r="D169" s="5" t="inlineStr">
        <is>
          <t>SURA</t>
        </is>
      </c>
      <c r="E169" s="6" t="n">
        <v>1</v>
      </c>
      <c r="F169" s="11" t="n">
        <v>26535182</v>
      </c>
      <c r="G169" s="12">
        <f>E169*F169</f>
        <v/>
      </c>
    </row>
    <row r="170">
      <c r="A170" s="5" t="inlineStr">
        <is>
          <t>SV012</t>
        </is>
      </c>
      <c r="B170" s="5" t="inlineStr">
        <is>
          <t>Cardioversión Eléctrica</t>
        </is>
      </c>
      <c r="C170" s="5" t="inlineStr">
        <is>
          <t>Sede Norte - Bogotá</t>
        </is>
      </c>
      <c r="D170" s="5" t="inlineStr">
        <is>
          <t>Sanitas</t>
        </is>
      </c>
      <c r="E170" s="6" t="n">
        <v>3</v>
      </c>
      <c r="F170" s="11" t="n">
        <v>8632767</v>
      </c>
      <c r="G170" s="12">
        <f>E170*F170</f>
        <v/>
      </c>
    </row>
    <row r="171">
      <c r="A171" s="5" t="inlineStr">
        <is>
          <t>SV012</t>
        </is>
      </c>
      <c r="B171" s="5" t="inlineStr">
        <is>
          <t>Cardioversión Eléctrica</t>
        </is>
      </c>
      <c r="C171" s="5" t="inlineStr">
        <is>
          <t>Sede Norte - Bogotá</t>
        </is>
      </c>
      <c r="D171" s="5" t="inlineStr">
        <is>
          <t>Compensar</t>
        </is>
      </c>
      <c r="E171" s="6" t="n">
        <v>1</v>
      </c>
      <c r="F171" s="11" t="n">
        <v>28852799</v>
      </c>
      <c r="G171" s="12">
        <f>E171*F171</f>
        <v/>
      </c>
    </row>
    <row r="172">
      <c r="A172" s="5" t="inlineStr">
        <is>
          <t>SV012</t>
        </is>
      </c>
      <c r="B172" s="5" t="inlineStr">
        <is>
          <t>Cardioversión Eléctrica</t>
        </is>
      </c>
      <c r="C172" s="5" t="inlineStr">
        <is>
          <t>Sede Norte - Bogotá</t>
        </is>
      </c>
      <c r="D172" s="5" t="inlineStr">
        <is>
          <t>Salud Total</t>
        </is>
      </c>
      <c r="E172" s="6" t="n">
        <v>2</v>
      </c>
      <c r="F172" s="11" t="n">
        <v>16317492</v>
      </c>
      <c r="G172" s="12">
        <f>E172*F172</f>
        <v/>
      </c>
    </row>
    <row r="173">
      <c r="A173" s="5" t="inlineStr">
        <is>
          <t>SV012</t>
        </is>
      </c>
      <c r="B173" s="5" t="inlineStr">
        <is>
          <t>Cardioversión Eléctrica</t>
        </is>
      </c>
      <c r="C173" s="5" t="inlineStr">
        <is>
          <t>Sede Norte - Bogotá</t>
        </is>
      </c>
      <c r="D173" s="5" t="inlineStr">
        <is>
          <t>Nueva EPS</t>
        </is>
      </c>
      <c r="E173" s="6" t="n">
        <v>1</v>
      </c>
      <c r="F173" s="11" t="n">
        <v>29427363</v>
      </c>
      <c r="G173" s="12">
        <f>E173*F173</f>
        <v/>
      </c>
    </row>
    <row r="174">
      <c r="A174" s="5" t="inlineStr">
        <is>
          <t>SV012</t>
        </is>
      </c>
      <c r="B174" s="5" t="inlineStr">
        <is>
          <t>Cardioversión Eléctrica</t>
        </is>
      </c>
      <c r="C174" s="5" t="inlineStr">
        <is>
          <t>Sede Sur - Medellín</t>
        </is>
      </c>
      <c r="D174" s="5" t="inlineStr">
        <is>
          <t>SURA</t>
        </is>
      </c>
      <c r="E174" s="6" t="n">
        <v>3</v>
      </c>
      <c r="F174" s="11" t="n">
        <v>31399684</v>
      </c>
      <c r="G174" s="12">
        <f>E174*F174</f>
        <v/>
      </c>
    </row>
    <row r="175">
      <c r="A175" s="5" t="inlineStr">
        <is>
          <t>SV012</t>
        </is>
      </c>
      <c r="B175" s="5" t="inlineStr">
        <is>
          <t>Cardioversión Eléctrica</t>
        </is>
      </c>
      <c r="C175" s="5" t="inlineStr">
        <is>
          <t>Sede Sur - Medellín</t>
        </is>
      </c>
      <c r="D175" s="5" t="inlineStr">
        <is>
          <t>Sanitas</t>
        </is>
      </c>
      <c r="E175" s="6" t="n">
        <v>2</v>
      </c>
      <c r="F175" s="11" t="n">
        <v>20407703</v>
      </c>
      <c r="G175" s="12">
        <f>E175*F175</f>
        <v/>
      </c>
    </row>
    <row r="176">
      <c r="A176" s="5" t="inlineStr">
        <is>
          <t>SV012</t>
        </is>
      </c>
      <c r="B176" s="5" t="inlineStr">
        <is>
          <t>Cardioversión Eléctrica</t>
        </is>
      </c>
      <c r="C176" s="5" t="inlineStr">
        <is>
          <t>Sede Sur - Medellín</t>
        </is>
      </c>
      <c r="D176" s="5" t="inlineStr">
        <is>
          <t>Compensar</t>
        </is>
      </c>
      <c r="E176" s="6" t="n">
        <v>2</v>
      </c>
      <c r="F176" s="11" t="n">
        <v>28002108</v>
      </c>
      <c r="G176" s="12">
        <f>E176*F176</f>
        <v/>
      </c>
    </row>
    <row r="177">
      <c r="A177" s="5" t="inlineStr">
        <is>
          <t>SV012</t>
        </is>
      </c>
      <c r="B177" s="5" t="inlineStr">
        <is>
          <t>Cardioversión Eléctrica</t>
        </is>
      </c>
      <c r="C177" s="5" t="inlineStr">
        <is>
          <t>Sede Sur - Medellín</t>
        </is>
      </c>
      <c r="D177" s="5" t="inlineStr">
        <is>
          <t>Salud Total</t>
        </is>
      </c>
      <c r="E177" s="6" t="n">
        <v>3</v>
      </c>
      <c r="F177" s="11" t="n">
        <v>20589041</v>
      </c>
      <c r="G177" s="12">
        <f>E177*F177</f>
        <v/>
      </c>
    </row>
    <row r="178">
      <c r="A178" s="5" t="inlineStr">
        <is>
          <t>SV012</t>
        </is>
      </c>
      <c r="B178" s="5" t="inlineStr">
        <is>
          <t>Cardioversión Eléctrica</t>
        </is>
      </c>
      <c r="C178" s="5" t="inlineStr">
        <is>
          <t>Sede Sur - Medellín</t>
        </is>
      </c>
      <c r="D178" s="5" t="inlineStr">
        <is>
          <t>Nueva EPS</t>
        </is>
      </c>
      <c r="E178" s="6" t="n">
        <v>3</v>
      </c>
      <c r="F178" s="11" t="n">
        <v>10797150</v>
      </c>
      <c r="G178" s="12">
        <f>E178*F178</f>
        <v/>
      </c>
    </row>
    <row r="179">
      <c r="A179" s="5" t="inlineStr">
        <is>
          <t>SV012</t>
        </is>
      </c>
      <c r="B179" s="5" t="inlineStr">
        <is>
          <t>Cardioversión Eléctrica</t>
        </is>
      </c>
      <c r="C179" s="5" t="inlineStr">
        <is>
          <t>Sede Centro - Cali</t>
        </is>
      </c>
      <c r="D179" s="5" t="inlineStr">
        <is>
          <t>SURA</t>
        </is>
      </c>
      <c r="E179" s="6" t="n">
        <v>2</v>
      </c>
      <c r="F179" s="11" t="n">
        <v>23950685</v>
      </c>
      <c r="G179" s="12">
        <f>E179*F179</f>
        <v/>
      </c>
    </row>
    <row r="180">
      <c r="A180" s="5" t="inlineStr">
        <is>
          <t>SV012</t>
        </is>
      </c>
      <c r="B180" s="5" t="inlineStr">
        <is>
          <t>Cardioversión Eléctrica</t>
        </is>
      </c>
      <c r="C180" s="5" t="inlineStr">
        <is>
          <t>Sede Centro - Cali</t>
        </is>
      </c>
      <c r="D180" s="5" t="inlineStr">
        <is>
          <t>Sanitas</t>
        </is>
      </c>
      <c r="E180" s="6" t="n">
        <v>3</v>
      </c>
      <c r="F180" s="11" t="n">
        <v>14743442</v>
      </c>
      <c r="G180" s="12">
        <f>E180*F180</f>
        <v/>
      </c>
    </row>
    <row r="181">
      <c r="A181" s="5" t="inlineStr">
        <is>
          <t>SV012</t>
        </is>
      </c>
      <c r="B181" s="5" t="inlineStr">
        <is>
          <t>Cardioversión Eléctrica</t>
        </is>
      </c>
      <c r="C181" s="5" t="inlineStr">
        <is>
          <t>Sede Centro - Cali</t>
        </is>
      </c>
      <c r="D181" s="5" t="inlineStr">
        <is>
          <t>Compensar</t>
        </is>
      </c>
      <c r="E181" s="6" t="n">
        <v>2</v>
      </c>
      <c r="F181" s="11" t="n">
        <v>20930668</v>
      </c>
      <c r="G181" s="12">
        <f>E181*F181</f>
        <v/>
      </c>
    </row>
    <row r="182">
      <c r="A182" s="5" t="inlineStr">
        <is>
          <t>SV012</t>
        </is>
      </c>
      <c r="B182" s="5" t="inlineStr">
        <is>
          <t>Cardioversión Eléctrica</t>
        </is>
      </c>
      <c r="C182" s="5" t="inlineStr">
        <is>
          <t>Sede Centro - Cali</t>
        </is>
      </c>
      <c r="D182" s="5" t="inlineStr">
        <is>
          <t>Salud Total</t>
        </is>
      </c>
      <c r="E182" s="6" t="n">
        <v>2</v>
      </c>
      <c r="F182" s="11" t="n">
        <v>22927434</v>
      </c>
      <c r="G182" s="12">
        <f>E182*F182</f>
        <v/>
      </c>
    </row>
    <row r="183">
      <c r="A183" s="5" t="inlineStr">
        <is>
          <t>SV012</t>
        </is>
      </c>
      <c r="B183" s="5" t="inlineStr">
        <is>
          <t>Cardioversión Eléctrica</t>
        </is>
      </c>
      <c r="C183" s="5" t="inlineStr">
        <is>
          <t>Sede Centro - Cali</t>
        </is>
      </c>
      <c r="D183" s="5" t="inlineStr">
        <is>
          <t>Nueva EPS</t>
        </is>
      </c>
      <c r="E183" s="6" t="n">
        <v>3</v>
      </c>
      <c r="F183" s="11" t="n">
        <v>18476825</v>
      </c>
      <c r="G183" s="12">
        <f>E183*F183</f>
        <v/>
      </c>
    </row>
    <row r="184">
      <c r="A184" s="5" t="inlineStr">
        <is>
          <t>SV013</t>
        </is>
      </c>
      <c r="B184" s="5" t="inlineStr">
        <is>
          <t>Implante Marcapasos</t>
        </is>
      </c>
      <c r="C184" s="5" t="inlineStr">
        <is>
          <t>Sede Norte - Bogotá</t>
        </is>
      </c>
      <c r="D184" s="5" t="inlineStr">
        <is>
          <t>SURA</t>
        </is>
      </c>
      <c r="E184" s="6" t="n">
        <v>3</v>
      </c>
      <c r="F184" s="11" t="n">
        <v>17294273</v>
      </c>
      <c r="G184" s="12">
        <f>E184*F184</f>
        <v/>
      </c>
    </row>
    <row r="185">
      <c r="A185" s="5" t="inlineStr">
        <is>
          <t>SV013</t>
        </is>
      </c>
      <c r="B185" s="5" t="inlineStr">
        <is>
          <t>Implante Marcapasos</t>
        </is>
      </c>
      <c r="C185" s="5" t="inlineStr">
        <is>
          <t>Sede Norte - Bogotá</t>
        </is>
      </c>
      <c r="D185" s="5" t="inlineStr">
        <is>
          <t>Sanitas</t>
        </is>
      </c>
      <c r="E185" s="6" t="n">
        <v>2</v>
      </c>
      <c r="F185" s="11" t="n">
        <v>16018845</v>
      </c>
      <c r="G185" s="12">
        <f>E185*F185</f>
        <v/>
      </c>
    </row>
    <row r="186">
      <c r="A186" s="5" t="inlineStr">
        <is>
          <t>SV013</t>
        </is>
      </c>
      <c r="B186" s="5" t="inlineStr">
        <is>
          <t>Implante Marcapasos</t>
        </is>
      </c>
      <c r="C186" s="5" t="inlineStr">
        <is>
          <t>Sede Norte - Bogotá</t>
        </is>
      </c>
      <c r="D186" s="5" t="inlineStr">
        <is>
          <t>Compensar</t>
        </is>
      </c>
      <c r="E186" s="6" t="n">
        <v>2</v>
      </c>
      <c r="F186" s="11" t="n">
        <v>32824837</v>
      </c>
      <c r="G186" s="12">
        <f>E186*F186</f>
        <v/>
      </c>
    </row>
    <row r="187">
      <c r="A187" s="5" t="inlineStr">
        <is>
          <t>SV013</t>
        </is>
      </c>
      <c r="B187" s="5" t="inlineStr">
        <is>
          <t>Implante Marcapasos</t>
        </is>
      </c>
      <c r="C187" s="5" t="inlineStr">
        <is>
          <t>Sede Norte - Bogotá</t>
        </is>
      </c>
      <c r="D187" s="5" t="inlineStr">
        <is>
          <t>Salud Total</t>
        </is>
      </c>
      <c r="E187" s="6" t="n">
        <v>3</v>
      </c>
      <c r="F187" s="11" t="n">
        <v>9172184</v>
      </c>
      <c r="G187" s="12">
        <f>E187*F187</f>
        <v/>
      </c>
    </row>
    <row r="188">
      <c r="A188" s="5" t="inlineStr">
        <is>
          <t>SV013</t>
        </is>
      </c>
      <c r="B188" s="5" t="inlineStr">
        <is>
          <t>Implante Marcapasos</t>
        </is>
      </c>
      <c r="C188" s="5" t="inlineStr">
        <is>
          <t>Sede Norte - Bogotá</t>
        </is>
      </c>
      <c r="D188" s="5" t="inlineStr">
        <is>
          <t>Nueva EPS</t>
        </is>
      </c>
      <c r="E188" s="6" t="n">
        <v>2</v>
      </c>
      <c r="F188" s="11" t="n">
        <v>25998910</v>
      </c>
      <c r="G188" s="12">
        <f>E188*F188</f>
        <v/>
      </c>
    </row>
    <row r="189">
      <c r="A189" s="5" t="inlineStr">
        <is>
          <t>SV013</t>
        </is>
      </c>
      <c r="B189" s="5" t="inlineStr">
        <is>
          <t>Implante Marcapasos</t>
        </is>
      </c>
      <c r="C189" s="5" t="inlineStr">
        <is>
          <t>Sede Sur - Medellín</t>
        </is>
      </c>
      <c r="D189" s="5" t="inlineStr">
        <is>
          <t>SURA</t>
        </is>
      </c>
      <c r="E189" s="6" t="n">
        <v>2</v>
      </c>
      <c r="F189" s="11" t="n">
        <v>24192478</v>
      </c>
      <c r="G189" s="12">
        <f>E189*F189</f>
        <v/>
      </c>
    </row>
    <row r="190">
      <c r="A190" s="5" t="inlineStr">
        <is>
          <t>SV013</t>
        </is>
      </c>
      <c r="B190" s="5" t="inlineStr">
        <is>
          <t>Implante Marcapasos</t>
        </is>
      </c>
      <c r="C190" s="5" t="inlineStr">
        <is>
          <t>Sede Sur - Medellín</t>
        </is>
      </c>
      <c r="D190" s="5" t="inlineStr">
        <is>
          <t>Sanitas</t>
        </is>
      </c>
      <c r="E190" s="6" t="n">
        <v>1</v>
      </c>
      <c r="F190" s="11" t="n">
        <v>8883181</v>
      </c>
      <c r="G190" s="12">
        <f>E190*F190</f>
        <v/>
      </c>
    </row>
    <row r="191">
      <c r="A191" s="5" t="inlineStr">
        <is>
          <t>SV013</t>
        </is>
      </c>
      <c r="B191" s="5" t="inlineStr">
        <is>
          <t>Implante Marcapasos</t>
        </is>
      </c>
      <c r="C191" s="5" t="inlineStr">
        <is>
          <t>Sede Sur - Medellín</t>
        </is>
      </c>
      <c r="D191" s="5" t="inlineStr">
        <is>
          <t>Compensar</t>
        </is>
      </c>
      <c r="E191" s="6" t="n">
        <v>2</v>
      </c>
      <c r="F191" s="11" t="n">
        <v>27612673</v>
      </c>
      <c r="G191" s="12">
        <f>E191*F191</f>
        <v/>
      </c>
    </row>
    <row r="192">
      <c r="A192" s="5" t="inlineStr">
        <is>
          <t>SV013</t>
        </is>
      </c>
      <c r="B192" s="5" t="inlineStr">
        <is>
          <t>Implante Marcapasos</t>
        </is>
      </c>
      <c r="C192" s="5" t="inlineStr">
        <is>
          <t>Sede Sur - Medellín</t>
        </is>
      </c>
      <c r="D192" s="5" t="inlineStr">
        <is>
          <t>Salud Total</t>
        </is>
      </c>
      <c r="E192" s="6" t="n">
        <v>1</v>
      </c>
      <c r="F192" s="11" t="n">
        <v>26373597</v>
      </c>
      <c r="G192" s="12">
        <f>E192*F192</f>
        <v/>
      </c>
    </row>
    <row r="193">
      <c r="A193" s="5" t="inlineStr">
        <is>
          <t>SV013</t>
        </is>
      </c>
      <c r="B193" s="5" t="inlineStr">
        <is>
          <t>Implante Marcapasos</t>
        </is>
      </c>
      <c r="C193" s="5" t="inlineStr">
        <is>
          <t>Sede Sur - Medellín</t>
        </is>
      </c>
      <c r="D193" s="5" t="inlineStr">
        <is>
          <t>Nueva EPS</t>
        </is>
      </c>
      <c r="E193" s="6" t="n">
        <v>1</v>
      </c>
      <c r="F193" s="11" t="n">
        <v>26958436</v>
      </c>
      <c r="G193" s="12">
        <f>E193*F193</f>
        <v/>
      </c>
    </row>
    <row r="194">
      <c r="A194" s="5" t="inlineStr">
        <is>
          <t>SV013</t>
        </is>
      </c>
      <c r="B194" s="5" t="inlineStr">
        <is>
          <t>Implante Marcapasos</t>
        </is>
      </c>
      <c r="C194" s="5" t="inlineStr">
        <is>
          <t>Sede Centro - Cali</t>
        </is>
      </c>
      <c r="D194" s="5" t="inlineStr">
        <is>
          <t>SURA</t>
        </is>
      </c>
      <c r="E194" s="6" t="n">
        <v>2</v>
      </c>
      <c r="F194" s="11" t="n">
        <v>6628053</v>
      </c>
      <c r="G194" s="12">
        <f>E194*F194</f>
        <v/>
      </c>
    </row>
    <row r="195">
      <c r="A195" s="5" t="inlineStr">
        <is>
          <t>SV013</t>
        </is>
      </c>
      <c r="B195" s="5" t="inlineStr">
        <is>
          <t>Implante Marcapasos</t>
        </is>
      </c>
      <c r="C195" s="5" t="inlineStr">
        <is>
          <t>Sede Centro - Cali</t>
        </is>
      </c>
      <c r="D195" s="5" t="inlineStr">
        <is>
          <t>Sanitas</t>
        </is>
      </c>
      <c r="E195" s="6" t="n">
        <v>2</v>
      </c>
      <c r="F195" s="11" t="n">
        <v>34301137</v>
      </c>
      <c r="G195" s="12">
        <f>E195*F195</f>
        <v/>
      </c>
    </row>
    <row r="196">
      <c r="A196" s="5" t="inlineStr">
        <is>
          <t>SV013</t>
        </is>
      </c>
      <c r="B196" s="5" t="inlineStr">
        <is>
          <t>Implante Marcapasos</t>
        </is>
      </c>
      <c r="C196" s="5" t="inlineStr">
        <is>
          <t>Sede Centro - Cali</t>
        </is>
      </c>
      <c r="D196" s="5" t="inlineStr">
        <is>
          <t>Compensar</t>
        </is>
      </c>
      <c r="E196" s="6" t="n">
        <v>2</v>
      </c>
      <c r="F196" s="11" t="n">
        <v>22103487</v>
      </c>
      <c r="G196" s="12">
        <f>E196*F196</f>
        <v/>
      </c>
    </row>
    <row r="197">
      <c r="A197" s="5" t="inlineStr">
        <is>
          <t>SV013</t>
        </is>
      </c>
      <c r="B197" s="5" t="inlineStr">
        <is>
          <t>Implante Marcapasos</t>
        </is>
      </c>
      <c r="C197" s="5" t="inlineStr">
        <is>
          <t>Sede Centro - Cali</t>
        </is>
      </c>
      <c r="D197" s="5" t="inlineStr">
        <is>
          <t>Salud Total</t>
        </is>
      </c>
      <c r="E197" s="6" t="n">
        <v>1</v>
      </c>
      <c r="F197" s="11" t="n">
        <v>31826996</v>
      </c>
      <c r="G197" s="12">
        <f>E197*F197</f>
        <v/>
      </c>
    </row>
    <row r="198">
      <c r="A198" s="5" t="inlineStr">
        <is>
          <t>SV013</t>
        </is>
      </c>
      <c r="B198" s="5" t="inlineStr">
        <is>
          <t>Implante Marcapasos</t>
        </is>
      </c>
      <c r="C198" s="5" t="inlineStr">
        <is>
          <t>Sede Centro - Cali</t>
        </is>
      </c>
      <c r="D198" s="5" t="inlineStr">
        <is>
          <t>Nueva EPS</t>
        </is>
      </c>
      <c r="E198" s="6" t="n">
        <v>2</v>
      </c>
      <c r="F198" s="11" t="n">
        <v>34513389</v>
      </c>
      <c r="G198" s="12">
        <f>E198*F198</f>
        <v/>
      </c>
    </row>
    <row r="199">
      <c r="A199" s="5" t="inlineStr">
        <is>
          <t>SV014</t>
        </is>
      </c>
      <c r="B199" s="5" t="inlineStr">
        <is>
          <t>Cateterismo Cardíaco Derecho</t>
        </is>
      </c>
      <c r="C199" s="5" t="inlineStr">
        <is>
          <t>Sede Norte - Bogotá</t>
        </is>
      </c>
      <c r="D199" s="5" t="inlineStr">
        <is>
          <t>SURA</t>
        </is>
      </c>
      <c r="E199" s="6" t="n">
        <v>5</v>
      </c>
      <c r="F199" s="11" t="n">
        <v>1683990</v>
      </c>
      <c r="G199" s="12">
        <f>E199*F199</f>
        <v/>
      </c>
    </row>
    <row r="200">
      <c r="A200" s="5" t="inlineStr">
        <is>
          <t>SV014</t>
        </is>
      </c>
      <c r="B200" s="5" t="inlineStr">
        <is>
          <t>Cateterismo Cardíaco Derecho</t>
        </is>
      </c>
      <c r="C200" s="5" t="inlineStr">
        <is>
          <t>Sede Norte - Bogotá</t>
        </is>
      </c>
      <c r="D200" s="5" t="inlineStr">
        <is>
          <t>Sanitas</t>
        </is>
      </c>
      <c r="E200" s="6" t="n">
        <v>2</v>
      </c>
      <c r="F200" s="11" t="n">
        <v>2272679</v>
      </c>
      <c r="G200" s="12">
        <f>E200*F200</f>
        <v/>
      </c>
    </row>
    <row r="201">
      <c r="A201" s="5" t="inlineStr">
        <is>
          <t>SV014</t>
        </is>
      </c>
      <c r="B201" s="5" t="inlineStr">
        <is>
          <t>Cateterismo Cardíaco Derecho</t>
        </is>
      </c>
      <c r="C201" s="5" t="inlineStr">
        <is>
          <t>Sede Norte - Bogotá</t>
        </is>
      </c>
      <c r="D201" s="5" t="inlineStr">
        <is>
          <t>Compensar</t>
        </is>
      </c>
      <c r="E201" s="6" t="n">
        <v>6</v>
      </c>
      <c r="F201" s="11" t="n">
        <v>2360043</v>
      </c>
      <c r="G201" s="12">
        <f>E201*F201</f>
        <v/>
      </c>
    </row>
    <row r="202">
      <c r="A202" s="5" t="inlineStr">
        <is>
          <t>SV014</t>
        </is>
      </c>
      <c r="B202" s="5" t="inlineStr">
        <is>
          <t>Cateterismo Cardíaco Derecho</t>
        </is>
      </c>
      <c r="C202" s="5" t="inlineStr">
        <is>
          <t>Sede Norte - Bogotá</t>
        </is>
      </c>
      <c r="D202" s="5" t="inlineStr">
        <is>
          <t>Salud Total</t>
        </is>
      </c>
      <c r="E202" s="6" t="n">
        <v>3</v>
      </c>
      <c r="F202" s="11" t="n">
        <v>2217298</v>
      </c>
      <c r="G202" s="12">
        <f>E202*F202</f>
        <v/>
      </c>
    </row>
    <row r="203">
      <c r="A203" s="5" t="inlineStr">
        <is>
          <t>SV014</t>
        </is>
      </c>
      <c r="B203" s="5" t="inlineStr">
        <is>
          <t>Cateterismo Cardíaco Derecho</t>
        </is>
      </c>
      <c r="C203" s="5" t="inlineStr">
        <is>
          <t>Sede Norte - Bogotá</t>
        </is>
      </c>
      <c r="D203" s="5" t="inlineStr">
        <is>
          <t>Nueva EPS</t>
        </is>
      </c>
      <c r="E203" s="6" t="n">
        <v>2</v>
      </c>
      <c r="F203" s="11" t="n">
        <v>2029812</v>
      </c>
      <c r="G203" s="12">
        <f>E203*F203</f>
        <v/>
      </c>
    </row>
    <row r="204">
      <c r="A204" s="5" t="inlineStr">
        <is>
          <t>SV014</t>
        </is>
      </c>
      <c r="B204" s="5" t="inlineStr">
        <is>
          <t>Cateterismo Cardíaco Derecho</t>
        </is>
      </c>
      <c r="C204" s="5" t="inlineStr">
        <is>
          <t>Sede Sur - Medellín</t>
        </is>
      </c>
      <c r="D204" s="5" t="inlineStr">
        <is>
          <t>SURA</t>
        </is>
      </c>
      <c r="E204" s="6" t="n">
        <v>5</v>
      </c>
      <c r="F204" s="11" t="n">
        <v>2303979</v>
      </c>
      <c r="G204" s="12">
        <f>E204*F204</f>
        <v/>
      </c>
    </row>
    <row r="205">
      <c r="A205" s="5" t="inlineStr">
        <is>
          <t>SV014</t>
        </is>
      </c>
      <c r="B205" s="5" t="inlineStr">
        <is>
          <t>Cateterismo Cardíaco Derecho</t>
        </is>
      </c>
      <c r="C205" s="5" t="inlineStr">
        <is>
          <t>Sede Sur - Medellín</t>
        </is>
      </c>
      <c r="D205" s="5" t="inlineStr">
        <is>
          <t>Sanitas</t>
        </is>
      </c>
      <c r="E205" s="6" t="n">
        <v>6</v>
      </c>
      <c r="F205" s="11" t="n">
        <v>2915042</v>
      </c>
      <c r="G205" s="12">
        <f>E205*F205</f>
        <v/>
      </c>
    </row>
    <row r="206">
      <c r="A206" s="5" t="inlineStr">
        <is>
          <t>SV014</t>
        </is>
      </c>
      <c r="B206" s="5" t="inlineStr">
        <is>
          <t>Cateterismo Cardíaco Derecho</t>
        </is>
      </c>
      <c r="C206" s="5" t="inlineStr">
        <is>
          <t>Sede Sur - Medellín</t>
        </is>
      </c>
      <c r="D206" s="5" t="inlineStr">
        <is>
          <t>Compensar</t>
        </is>
      </c>
      <c r="E206" s="6" t="n">
        <v>5</v>
      </c>
      <c r="F206" s="11" t="n">
        <v>2835556</v>
      </c>
      <c r="G206" s="12">
        <f>E206*F206</f>
        <v/>
      </c>
    </row>
    <row r="207">
      <c r="A207" s="5" t="inlineStr">
        <is>
          <t>SV014</t>
        </is>
      </c>
      <c r="B207" s="5" t="inlineStr">
        <is>
          <t>Cateterismo Cardíaco Derecho</t>
        </is>
      </c>
      <c r="C207" s="5" t="inlineStr">
        <is>
          <t>Sede Sur - Medellín</t>
        </is>
      </c>
      <c r="D207" s="5" t="inlineStr">
        <is>
          <t>Salud Total</t>
        </is>
      </c>
      <c r="E207" s="6" t="n">
        <v>4</v>
      </c>
      <c r="F207" s="11" t="n">
        <v>3024895</v>
      </c>
      <c r="G207" s="12">
        <f>E207*F207</f>
        <v/>
      </c>
    </row>
    <row r="208">
      <c r="A208" s="5" t="inlineStr">
        <is>
          <t>SV014</t>
        </is>
      </c>
      <c r="B208" s="5" t="inlineStr">
        <is>
          <t>Cateterismo Cardíaco Derecho</t>
        </is>
      </c>
      <c r="C208" s="5" t="inlineStr">
        <is>
          <t>Sede Sur - Medellín</t>
        </is>
      </c>
      <c r="D208" s="5" t="inlineStr">
        <is>
          <t>Nueva EPS</t>
        </is>
      </c>
      <c r="E208" s="6" t="n">
        <v>4</v>
      </c>
      <c r="F208" s="11" t="n">
        <v>3385963</v>
      </c>
      <c r="G208" s="12">
        <f>E208*F208</f>
        <v/>
      </c>
    </row>
    <row r="209">
      <c r="A209" s="5" t="inlineStr">
        <is>
          <t>SV014</t>
        </is>
      </c>
      <c r="B209" s="5" t="inlineStr">
        <is>
          <t>Cateterismo Cardíaco Derecho</t>
        </is>
      </c>
      <c r="C209" s="5" t="inlineStr">
        <is>
          <t>Sede Centro - Cali</t>
        </is>
      </c>
      <c r="D209" s="5" t="inlineStr">
        <is>
          <t>SURA</t>
        </is>
      </c>
      <c r="E209" s="6" t="n">
        <v>4</v>
      </c>
      <c r="F209" s="11" t="n">
        <v>2933432</v>
      </c>
      <c r="G209" s="12">
        <f>E209*F209</f>
        <v/>
      </c>
    </row>
    <row r="210">
      <c r="A210" s="5" t="inlineStr">
        <is>
          <t>SV014</t>
        </is>
      </c>
      <c r="B210" s="5" t="inlineStr">
        <is>
          <t>Cateterismo Cardíaco Derecho</t>
        </is>
      </c>
      <c r="C210" s="5" t="inlineStr">
        <is>
          <t>Sede Centro - Cali</t>
        </is>
      </c>
      <c r="D210" s="5" t="inlineStr">
        <is>
          <t>Sanitas</t>
        </is>
      </c>
      <c r="E210" s="6" t="n">
        <v>5</v>
      </c>
      <c r="F210" s="11" t="n">
        <v>2666083</v>
      </c>
      <c r="G210" s="12">
        <f>E210*F210</f>
        <v/>
      </c>
    </row>
    <row r="211">
      <c r="A211" s="5" t="inlineStr">
        <is>
          <t>SV014</t>
        </is>
      </c>
      <c r="B211" s="5" t="inlineStr">
        <is>
          <t>Cateterismo Cardíaco Derecho</t>
        </is>
      </c>
      <c r="C211" s="5" t="inlineStr">
        <is>
          <t>Sede Centro - Cali</t>
        </is>
      </c>
      <c r="D211" s="5" t="inlineStr">
        <is>
          <t>Compensar</t>
        </is>
      </c>
      <c r="E211" s="6" t="n">
        <v>4</v>
      </c>
      <c r="F211" s="11" t="n">
        <v>2350087</v>
      </c>
      <c r="G211" s="12">
        <f>E211*F211</f>
        <v/>
      </c>
    </row>
    <row r="212">
      <c r="A212" s="5" t="inlineStr">
        <is>
          <t>SV014</t>
        </is>
      </c>
      <c r="B212" s="5" t="inlineStr">
        <is>
          <t>Cateterismo Cardíaco Derecho</t>
        </is>
      </c>
      <c r="C212" s="5" t="inlineStr">
        <is>
          <t>Sede Centro - Cali</t>
        </is>
      </c>
      <c r="D212" s="5" t="inlineStr">
        <is>
          <t>Salud Total</t>
        </is>
      </c>
      <c r="E212" s="6" t="n">
        <v>3</v>
      </c>
      <c r="F212" s="11" t="n">
        <v>1973372</v>
      </c>
      <c r="G212" s="12">
        <f>E212*F212</f>
        <v/>
      </c>
    </row>
    <row r="213">
      <c r="A213" s="5" t="inlineStr">
        <is>
          <t>SV014</t>
        </is>
      </c>
      <c r="B213" s="5" t="inlineStr">
        <is>
          <t>Cateterismo Cardíaco Derecho</t>
        </is>
      </c>
      <c r="C213" s="5" t="inlineStr">
        <is>
          <t>Sede Centro - Cali</t>
        </is>
      </c>
      <c r="D213" s="5" t="inlineStr">
        <is>
          <t>Nueva EPS</t>
        </is>
      </c>
      <c r="E213" s="6" t="n">
        <v>4</v>
      </c>
      <c r="F213" s="11" t="n">
        <v>2098593</v>
      </c>
      <c r="G213" s="12">
        <f>E213*F213</f>
        <v/>
      </c>
    </row>
    <row r="214">
      <c r="A214" s="5" t="inlineStr">
        <is>
          <t>SV015</t>
        </is>
      </c>
      <c r="B214" s="5" t="inlineStr">
        <is>
          <t>Cateterismo Cardíaco Izquierdo</t>
        </is>
      </c>
      <c r="C214" s="5" t="inlineStr">
        <is>
          <t>Sede Norte - Bogotá</t>
        </is>
      </c>
      <c r="D214" s="5" t="inlineStr">
        <is>
          <t>SURA</t>
        </is>
      </c>
      <c r="E214" s="6" t="n">
        <v>2</v>
      </c>
      <c r="F214" s="11" t="n">
        <v>2464279</v>
      </c>
      <c r="G214" s="12">
        <f>E214*F214</f>
        <v/>
      </c>
    </row>
    <row r="215">
      <c r="A215" s="5" t="inlineStr">
        <is>
          <t>SV015</t>
        </is>
      </c>
      <c r="B215" s="5" t="inlineStr">
        <is>
          <t>Cateterismo Cardíaco Izquierdo</t>
        </is>
      </c>
      <c r="C215" s="5" t="inlineStr">
        <is>
          <t>Sede Norte - Bogotá</t>
        </is>
      </c>
      <c r="D215" s="5" t="inlineStr">
        <is>
          <t>Sanitas</t>
        </is>
      </c>
      <c r="E215" s="6" t="n">
        <v>6</v>
      </c>
      <c r="F215" s="11" t="n">
        <v>2580423</v>
      </c>
      <c r="G215" s="12">
        <f>E215*F215</f>
        <v/>
      </c>
    </row>
    <row r="216">
      <c r="A216" s="5" t="inlineStr">
        <is>
          <t>SV015</t>
        </is>
      </c>
      <c r="B216" s="5" t="inlineStr">
        <is>
          <t>Cateterismo Cardíaco Izquierdo</t>
        </is>
      </c>
      <c r="C216" s="5" t="inlineStr">
        <is>
          <t>Sede Norte - Bogotá</t>
        </is>
      </c>
      <c r="D216" s="5" t="inlineStr">
        <is>
          <t>Compensar</t>
        </is>
      </c>
      <c r="E216" s="6" t="n">
        <v>4</v>
      </c>
      <c r="F216" s="11" t="n">
        <v>3164222</v>
      </c>
      <c r="G216" s="12">
        <f>E216*F216</f>
        <v/>
      </c>
    </row>
    <row r="217">
      <c r="A217" s="5" t="inlineStr">
        <is>
          <t>SV015</t>
        </is>
      </c>
      <c r="B217" s="5" t="inlineStr">
        <is>
          <t>Cateterismo Cardíaco Izquierdo</t>
        </is>
      </c>
      <c r="C217" s="5" t="inlineStr">
        <is>
          <t>Sede Norte - Bogotá</t>
        </is>
      </c>
      <c r="D217" s="5" t="inlineStr">
        <is>
          <t>Salud Total</t>
        </is>
      </c>
      <c r="E217" s="6" t="n">
        <v>3</v>
      </c>
      <c r="F217" s="11" t="n">
        <v>2965739</v>
      </c>
      <c r="G217" s="12">
        <f>E217*F217</f>
        <v/>
      </c>
    </row>
    <row r="218">
      <c r="A218" s="5" t="inlineStr">
        <is>
          <t>SV015</t>
        </is>
      </c>
      <c r="B218" s="5" t="inlineStr">
        <is>
          <t>Cateterismo Cardíaco Izquierdo</t>
        </is>
      </c>
      <c r="C218" s="5" t="inlineStr">
        <is>
          <t>Sede Norte - Bogotá</t>
        </is>
      </c>
      <c r="D218" s="5" t="inlineStr">
        <is>
          <t>Nueva EPS</t>
        </is>
      </c>
      <c r="E218" s="6" t="n">
        <v>5</v>
      </c>
      <c r="F218" s="11" t="n">
        <v>2731134</v>
      </c>
      <c r="G218" s="12">
        <f>E218*F218</f>
        <v/>
      </c>
    </row>
    <row r="219">
      <c r="A219" s="5" t="inlineStr">
        <is>
          <t>SV015</t>
        </is>
      </c>
      <c r="B219" s="5" t="inlineStr">
        <is>
          <t>Cateterismo Cardíaco Izquierdo</t>
        </is>
      </c>
      <c r="C219" s="5" t="inlineStr">
        <is>
          <t>Sede Sur - Medellín</t>
        </is>
      </c>
      <c r="D219" s="5" t="inlineStr">
        <is>
          <t>SURA</t>
        </is>
      </c>
      <c r="E219" s="6" t="n">
        <v>3</v>
      </c>
      <c r="F219" s="11" t="n">
        <v>2595051</v>
      </c>
      <c r="G219" s="12">
        <f>E219*F219</f>
        <v/>
      </c>
    </row>
    <row r="220">
      <c r="A220" s="5" t="inlineStr">
        <is>
          <t>SV015</t>
        </is>
      </c>
      <c r="B220" s="5" t="inlineStr">
        <is>
          <t>Cateterismo Cardíaco Izquierdo</t>
        </is>
      </c>
      <c r="C220" s="5" t="inlineStr">
        <is>
          <t>Sede Sur - Medellín</t>
        </is>
      </c>
      <c r="D220" s="5" t="inlineStr">
        <is>
          <t>Sanitas</t>
        </is>
      </c>
      <c r="E220" s="6" t="n">
        <v>2</v>
      </c>
      <c r="F220" s="11" t="n">
        <v>1958111</v>
      </c>
      <c r="G220" s="12">
        <f>E220*F220</f>
        <v/>
      </c>
    </row>
    <row r="221">
      <c r="A221" s="5" t="inlineStr">
        <is>
          <t>SV015</t>
        </is>
      </c>
      <c r="B221" s="5" t="inlineStr">
        <is>
          <t>Cateterismo Cardíaco Izquierdo</t>
        </is>
      </c>
      <c r="C221" s="5" t="inlineStr">
        <is>
          <t>Sede Sur - Medellín</t>
        </is>
      </c>
      <c r="D221" s="5" t="inlineStr">
        <is>
          <t>Compensar</t>
        </is>
      </c>
      <c r="E221" s="6" t="n">
        <v>2</v>
      </c>
      <c r="F221" s="11" t="n">
        <v>2428372</v>
      </c>
      <c r="G221" s="12">
        <f>E221*F221</f>
        <v/>
      </c>
    </row>
    <row r="222">
      <c r="A222" s="5" t="inlineStr">
        <is>
          <t>SV015</t>
        </is>
      </c>
      <c r="B222" s="5" t="inlineStr">
        <is>
          <t>Cateterismo Cardíaco Izquierdo</t>
        </is>
      </c>
      <c r="C222" s="5" t="inlineStr">
        <is>
          <t>Sede Sur - Medellín</t>
        </is>
      </c>
      <c r="D222" s="5" t="inlineStr">
        <is>
          <t>Salud Total</t>
        </is>
      </c>
      <c r="E222" s="6" t="n">
        <v>3</v>
      </c>
      <c r="F222" s="11" t="n">
        <v>3058054</v>
      </c>
      <c r="G222" s="12">
        <f>E222*F222</f>
        <v/>
      </c>
    </row>
    <row r="223">
      <c r="A223" s="5" t="inlineStr">
        <is>
          <t>SV015</t>
        </is>
      </c>
      <c r="B223" s="5" t="inlineStr">
        <is>
          <t>Cateterismo Cardíaco Izquierdo</t>
        </is>
      </c>
      <c r="C223" s="5" t="inlineStr">
        <is>
          <t>Sede Sur - Medellín</t>
        </is>
      </c>
      <c r="D223" s="5" t="inlineStr">
        <is>
          <t>Nueva EPS</t>
        </is>
      </c>
      <c r="E223" s="6" t="n">
        <v>6</v>
      </c>
      <c r="F223" s="11" t="n">
        <v>2059372</v>
      </c>
      <c r="G223" s="12">
        <f>E223*F223</f>
        <v/>
      </c>
    </row>
    <row r="224">
      <c r="A224" s="5" t="inlineStr">
        <is>
          <t>SV015</t>
        </is>
      </c>
      <c r="B224" s="5" t="inlineStr">
        <is>
          <t>Cateterismo Cardíaco Izquierdo</t>
        </is>
      </c>
      <c r="C224" s="5" t="inlineStr">
        <is>
          <t>Sede Centro - Cali</t>
        </is>
      </c>
      <c r="D224" s="5" t="inlineStr">
        <is>
          <t>SURA</t>
        </is>
      </c>
      <c r="E224" s="6" t="n">
        <v>6</v>
      </c>
      <c r="F224" s="11" t="n">
        <v>2933735</v>
      </c>
      <c r="G224" s="12">
        <f>E224*F224</f>
        <v/>
      </c>
    </row>
    <row r="225">
      <c r="A225" s="5" t="inlineStr">
        <is>
          <t>SV015</t>
        </is>
      </c>
      <c r="B225" s="5" t="inlineStr">
        <is>
          <t>Cateterismo Cardíaco Izquierdo</t>
        </is>
      </c>
      <c r="C225" s="5" t="inlineStr">
        <is>
          <t>Sede Centro - Cali</t>
        </is>
      </c>
      <c r="D225" s="5" t="inlineStr">
        <is>
          <t>Sanitas</t>
        </is>
      </c>
      <c r="E225" s="6" t="n">
        <v>4</v>
      </c>
      <c r="F225" s="11" t="n">
        <v>2164748</v>
      </c>
      <c r="G225" s="12">
        <f>E225*F225</f>
        <v/>
      </c>
    </row>
    <row r="226">
      <c r="A226" s="5" t="inlineStr">
        <is>
          <t>SV015</t>
        </is>
      </c>
      <c r="B226" s="5" t="inlineStr">
        <is>
          <t>Cateterismo Cardíaco Izquierdo</t>
        </is>
      </c>
      <c r="C226" s="5" t="inlineStr">
        <is>
          <t>Sede Centro - Cali</t>
        </is>
      </c>
      <c r="D226" s="5" t="inlineStr">
        <is>
          <t>Compensar</t>
        </is>
      </c>
      <c r="E226" s="6" t="n">
        <v>2</v>
      </c>
      <c r="F226" s="11" t="n">
        <v>3399657</v>
      </c>
      <c r="G226" s="12">
        <f>E226*F226</f>
        <v/>
      </c>
    </row>
    <row r="227">
      <c r="A227" s="5" t="inlineStr">
        <is>
          <t>SV015</t>
        </is>
      </c>
      <c r="B227" s="5" t="inlineStr">
        <is>
          <t>Cateterismo Cardíaco Izquierdo</t>
        </is>
      </c>
      <c r="C227" s="5" t="inlineStr">
        <is>
          <t>Sede Centro - Cali</t>
        </is>
      </c>
      <c r="D227" s="5" t="inlineStr">
        <is>
          <t>Salud Total</t>
        </is>
      </c>
      <c r="E227" s="6" t="n">
        <v>5</v>
      </c>
      <c r="F227" s="11" t="n">
        <v>1636875</v>
      </c>
      <c r="G227" s="12">
        <f>E227*F227</f>
        <v/>
      </c>
    </row>
    <row r="228">
      <c r="A228" s="5" t="inlineStr">
        <is>
          <t>SV015</t>
        </is>
      </c>
      <c r="B228" s="5" t="inlineStr">
        <is>
          <t>Cateterismo Cardíaco Izquierdo</t>
        </is>
      </c>
      <c r="C228" s="5" t="inlineStr">
        <is>
          <t>Sede Centro - Cali</t>
        </is>
      </c>
      <c r="D228" s="5" t="inlineStr">
        <is>
          <t>Nueva EPS</t>
        </is>
      </c>
      <c r="E228" s="6" t="n">
        <v>4</v>
      </c>
      <c r="F228" s="11" t="n">
        <v>1772428</v>
      </c>
      <c r="G228" s="12">
        <f>E228*F228</f>
        <v/>
      </c>
    </row>
    <row r="229">
      <c r="A229" s="5" t="inlineStr">
        <is>
          <t>SV016</t>
        </is>
      </c>
      <c r="B229" s="5" t="inlineStr">
        <is>
          <t>Angioplastia Coronaria</t>
        </is>
      </c>
      <c r="C229" s="5" t="inlineStr">
        <is>
          <t>Sede Norte - Bogotá</t>
        </is>
      </c>
      <c r="D229" s="5" t="inlineStr">
        <is>
          <t>SURA</t>
        </is>
      </c>
      <c r="E229" s="6" t="n">
        <v>1</v>
      </c>
      <c r="F229" s="11" t="n">
        <v>8350677</v>
      </c>
      <c r="G229" s="12">
        <f>E229*F229</f>
        <v/>
      </c>
    </row>
    <row r="230">
      <c r="A230" s="5" t="inlineStr">
        <is>
          <t>SV016</t>
        </is>
      </c>
      <c r="B230" s="5" t="inlineStr">
        <is>
          <t>Angioplastia Coronaria</t>
        </is>
      </c>
      <c r="C230" s="5" t="inlineStr">
        <is>
          <t>Sede Norte - Bogotá</t>
        </is>
      </c>
      <c r="D230" s="5" t="inlineStr">
        <is>
          <t>Sanitas</t>
        </is>
      </c>
      <c r="E230" s="6" t="n">
        <v>3</v>
      </c>
      <c r="F230" s="11" t="n">
        <v>21608061</v>
      </c>
      <c r="G230" s="12">
        <f>E230*F230</f>
        <v/>
      </c>
    </row>
    <row r="231">
      <c r="A231" s="5" t="inlineStr">
        <is>
          <t>SV016</t>
        </is>
      </c>
      <c r="B231" s="5" t="inlineStr">
        <is>
          <t>Angioplastia Coronaria</t>
        </is>
      </c>
      <c r="C231" s="5" t="inlineStr">
        <is>
          <t>Sede Norte - Bogotá</t>
        </is>
      </c>
      <c r="D231" s="5" t="inlineStr">
        <is>
          <t>Compensar</t>
        </is>
      </c>
      <c r="E231" s="6" t="n">
        <v>3</v>
      </c>
      <c r="F231" s="11" t="n">
        <v>25199752</v>
      </c>
      <c r="G231" s="12">
        <f>E231*F231</f>
        <v/>
      </c>
    </row>
    <row r="232">
      <c r="A232" s="5" t="inlineStr">
        <is>
          <t>SV016</t>
        </is>
      </c>
      <c r="B232" s="5" t="inlineStr">
        <is>
          <t>Angioplastia Coronaria</t>
        </is>
      </c>
      <c r="C232" s="5" t="inlineStr">
        <is>
          <t>Sede Norte - Bogotá</t>
        </is>
      </c>
      <c r="D232" s="5" t="inlineStr">
        <is>
          <t>Salud Total</t>
        </is>
      </c>
      <c r="E232" s="6" t="n">
        <v>2</v>
      </c>
      <c r="F232" s="11" t="n">
        <v>8946212</v>
      </c>
      <c r="G232" s="12">
        <f>E232*F232</f>
        <v/>
      </c>
    </row>
    <row r="233">
      <c r="A233" s="5" t="inlineStr">
        <is>
          <t>SV016</t>
        </is>
      </c>
      <c r="B233" s="5" t="inlineStr">
        <is>
          <t>Angioplastia Coronaria</t>
        </is>
      </c>
      <c r="C233" s="5" t="inlineStr">
        <is>
          <t>Sede Norte - Bogotá</t>
        </is>
      </c>
      <c r="D233" s="5" t="inlineStr">
        <is>
          <t>Nueva EPS</t>
        </is>
      </c>
      <c r="E233" s="6" t="n">
        <v>3</v>
      </c>
      <c r="F233" s="11" t="n">
        <v>12328061</v>
      </c>
      <c r="G233" s="12">
        <f>E233*F233</f>
        <v/>
      </c>
    </row>
    <row r="234">
      <c r="A234" s="5" t="inlineStr">
        <is>
          <t>SV016</t>
        </is>
      </c>
      <c r="B234" s="5" t="inlineStr">
        <is>
          <t>Angioplastia Coronaria</t>
        </is>
      </c>
      <c r="C234" s="5" t="inlineStr">
        <is>
          <t>Sede Sur - Medellín</t>
        </is>
      </c>
      <c r="D234" s="5" t="inlineStr">
        <is>
          <t>SURA</t>
        </is>
      </c>
      <c r="E234" s="6" t="n">
        <v>2</v>
      </c>
      <c r="F234" s="11" t="n">
        <v>10185130</v>
      </c>
      <c r="G234" s="12">
        <f>E234*F234</f>
        <v/>
      </c>
    </row>
    <row r="235">
      <c r="A235" s="5" t="inlineStr">
        <is>
          <t>SV016</t>
        </is>
      </c>
      <c r="B235" s="5" t="inlineStr">
        <is>
          <t>Angioplastia Coronaria</t>
        </is>
      </c>
      <c r="C235" s="5" t="inlineStr">
        <is>
          <t>Sede Sur - Medellín</t>
        </is>
      </c>
      <c r="D235" s="5" t="inlineStr">
        <is>
          <t>Sanitas</t>
        </is>
      </c>
      <c r="E235" s="6" t="n">
        <v>3</v>
      </c>
      <c r="F235" s="11" t="n">
        <v>15395680</v>
      </c>
      <c r="G235" s="12">
        <f>E235*F235</f>
        <v/>
      </c>
    </row>
    <row r="236">
      <c r="A236" s="5" t="inlineStr">
        <is>
          <t>SV016</t>
        </is>
      </c>
      <c r="B236" s="5" t="inlineStr">
        <is>
          <t>Angioplastia Coronaria</t>
        </is>
      </c>
      <c r="C236" s="5" t="inlineStr">
        <is>
          <t>Sede Sur - Medellín</t>
        </is>
      </c>
      <c r="D236" s="5" t="inlineStr">
        <is>
          <t>Compensar</t>
        </is>
      </c>
      <c r="E236" s="6" t="n">
        <v>2</v>
      </c>
      <c r="F236" s="11" t="n">
        <v>34789185</v>
      </c>
      <c r="G236" s="12">
        <f>E236*F236</f>
        <v/>
      </c>
    </row>
    <row r="237">
      <c r="A237" s="5" t="inlineStr">
        <is>
          <t>SV016</t>
        </is>
      </c>
      <c r="B237" s="5" t="inlineStr">
        <is>
          <t>Angioplastia Coronaria</t>
        </is>
      </c>
      <c r="C237" s="5" t="inlineStr">
        <is>
          <t>Sede Sur - Medellín</t>
        </is>
      </c>
      <c r="D237" s="5" t="inlineStr">
        <is>
          <t>Salud Total</t>
        </is>
      </c>
      <c r="E237" s="6" t="n">
        <v>3</v>
      </c>
      <c r="F237" s="11" t="n">
        <v>24385749</v>
      </c>
      <c r="G237" s="12">
        <f>E237*F237</f>
        <v/>
      </c>
    </row>
    <row r="238">
      <c r="A238" s="5" t="inlineStr">
        <is>
          <t>SV016</t>
        </is>
      </c>
      <c r="B238" s="5" t="inlineStr">
        <is>
          <t>Angioplastia Coronaria</t>
        </is>
      </c>
      <c r="C238" s="5" t="inlineStr">
        <is>
          <t>Sede Sur - Medellín</t>
        </is>
      </c>
      <c r="D238" s="5" t="inlineStr">
        <is>
          <t>Nueva EPS</t>
        </is>
      </c>
      <c r="E238" s="6" t="n">
        <v>3</v>
      </c>
      <c r="F238" s="11" t="n">
        <v>33549545</v>
      </c>
      <c r="G238" s="12">
        <f>E238*F238</f>
        <v/>
      </c>
    </row>
    <row r="239">
      <c r="A239" s="5" t="inlineStr">
        <is>
          <t>SV016</t>
        </is>
      </c>
      <c r="B239" s="5" t="inlineStr">
        <is>
          <t>Angioplastia Coronaria</t>
        </is>
      </c>
      <c r="C239" s="5" t="inlineStr">
        <is>
          <t>Sede Centro - Cali</t>
        </is>
      </c>
      <c r="D239" s="5" t="inlineStr">
        <is>
          <t>SURA</t>
        </is>
      </c>
      <c r="E239" s="6" t="n">
        <v>3</v>
      </c>
      <c r="F239" s="11" t="n">
        <v>21331376</v>
      </c>
      <c r="G239" s="12">
        <f>E239*F239</f>
        <v/>
      </c>
    </row>
    <row r="240">
      <c r="A240" s="5" t="inlineStr">
        <is>
          <t>SV016</t>
        </is>
      </c>
      <c r="B240" s="5" t="inlineStr">
        <is>
          <t>Angioplastia Coronaria</t>
        </is>
      </c>
      <c r="C240" s="5" t="inlineStr">
        <is>
          <t>Sede Centro - Cali</t>
        </is>
      </c>
      <c r="D240" s="5" t="inlineStr">
        <is>
          <t>Sanitas</t>
        </is>
      </c>
      <c r="E240" s="6" t="n">
        <v>1</v>
      </c>
      <c r="F240" s="11" t="n">
        <v>16079150</v>
      </c>
      <c r="G240" s="12">
        <f>E240*F240</f>
        <v/>
      </c>
    </row>
    <row r="241">
      <c r="A241" s="5" t="inlineStr">
        <is>
          <t>SV016</t>
        </is>
      </c>
      <c r="B241" s="5" t="inlineStr">
        <is>
          <t>Angioplastia Coronaria</t>
        </is>
      </c>
      <c r="C241" s="5" t="inlineStr">
        <is>
          <t>Sede Centro - Cali</t>
        </is>
      </c>
      <c r="D241" s="5" t="inlineStr">
        <is>
          <t>Compensar</t>
        </is>
      </c>
      <c r="E241" s="6" t="n">
        <v>3</v>
      </c>
      <c r="F241" s="11" t="n">
        <v>10800526</v>
      </c>
      <c r="G241" s="12">
        <f>E241*F241</f>
        <v/>
      </c>
    </row>
    <row r="242">
      <c r="A242" s="5" t="inlineStr">
        <is>
          <t>SV016</t>
        </is>
      </c>
      <c r="B242" s="5" t="inlineStr">
        <is>
          <t>Angioplastia Coronaria</t>
        </is>
      </c>
      <c r="C242" s="5" t="inlineStr">
        <is>
          <t>Sede Centro - Cali</t>
        </is>
      </c>
      <c r="D242" s="5" t="inlineStr">
        <is>
          <t>Salud Total</t>
        </is>
      </c>
      <c r="E242" s="6" t="n">
        <v>3</v>
      </c>
      <c r="F242" s="11" t="n">
        <v>27383306</v>
      </c>
      <c r="G242" s="12">
        <f>E242*F242</f>
        <v/>
      </c>
    </row>
    <row r="243">
      <c r="A243" s="5" t="inlineStr">
        <is>
          <t>SV016</t>
        </is>
      </c>
      <c r="B243" s="5" t="inlineStr">
        <is>
          <t>Angioplastia Coronaria</t>
        </is>
      </c>
      <c r="C243" s="5" t="inlineStr">
        <is>
          <t>Sede Centro - Cali</t>
        </is>
      </c>
      <c r="D243" s="5" t="inlineStr">
        <is>
          <t>Nueva EPS</t>
        </is>
      </c>
      <c r="E243" s="6" t="n">
        <v>3</v>
      </c>
      <c r="F243" s="11" t="n">
        <v>15232266</v>
      </c>
      <c r="G243" s="12">
        <f>E243*F243</f>
        <v/>
      </c>
    </row>
    <row r="244">
      <c r="A244" s="5" t="inlineStr">
        <is>
          <t>SV017</t>
        </is>
      </c>
      <c r="B244" s="5" t="inlineStr">
        <is>
          <t>Ablación por Radiofrecuencia</t>
        </is>
      </c>
      <c r="C244" s="5" t="inlineStr">
        <is>
          <t>Sede Norte - Bogotá</t>
        </is>
      </c>
      <c r="D244" s="5" t="inlineStr">
        <is>
          <t>SURA</t>
        </is>
      </c>
      <c r="E244" s="6" t="n">
        <v>3</v>
      </c>
      <c r="F244" s="11" t="n">
        <v>30096639</v>
      </c>
      <c r="G244" s="12">
        <f>E244*F244</f>
        <v/>
      </c>
    </row>
    <row r="245">
      <c r="A245" s="5" t="inlineStr">
        <is>
          <t>SV017</t>
        </is>
      </c>
      <c r="B245" s="5" t="inlineStr">
        <is>
          <t>Ablación por Radiofrecuencia</t>
        </is>
      </c>
      <c r="C245" s="5" t="inlineStr">
        <is>
          <t>Sede Norte - Bogotá</t>
        </is>
      </c>
      <c r="D245" s="5" t="inlineStr">
        <is>
          <t>Sanitas</t>
        </is>
      </c>
      <c r="E245" s="6" t="n">
        <v>3</v>
      </c>
      <c r="F245" s="11" t="n">
        <v>14857085</v>
      </c>
      <c r="G245" s="12">
        <f>E245*F245</f>
        <v/>
      </c>
    </row>
    <row r="246">
      <c r="A246" s="5" t="inlineStr">
        <is>
          <t>SV017</t>
        </is>
      </c>
      <c r="B246" s="5" t="inlineStr">
        <is>
          <t>Ablación por Radiofrecuencia</t>
        </is>
      </c>
      <c r="C246" s="5" t="inlineStr">
        <is>
          <t>Sede Norte - Bogotá</t>
        </is>
      </c>
      <c r="D246" s="5" t="inlineStr">
        <is>
          <t>Compensar</t>
        </is>
      </c>
      <c r="E246" s="6" t="n">
        <v>2</v>
      </c>
      <c r="F246" s="11" t="n">
        <v>18551250</v>
      </c>
      <c r="G246" s="12">
        <f>E246*F246</f>
        <v/>
      </c>
    </row>
    <row r="247">
      <c r="A247" s="5" t="inlineStr">
        <is>
          <t>SV017</t>
        </is>
      </c>
      <c r="B247" s="5" t="inlineStr">
        <is>
          <t>Ablación por Radiofrecuencia</t>
        </is>
      </c>
      <c r="C247" s="5" t="inlineStr">
        <is>
          <t>Sede Norte - Bogotá</t>
        </is>
      </c>
      <c r="D247" s="5" t="inlineStr">
        <is>
          <t>Salud Total</t>
        </is>
      </c>
      <c r="E247" s="6" t="n">
        <v>2</v>
      </c>
      <c r="F247" s="11" t="n">
        <v>13904067</v>
      </c>
      <c r="G247" s="12">
        <f>E247*F247</f>
        <v/>
      </c>
    </row>
    <row r="248">
      <c r="A248" s="5" t="inlineStr">
        <is>
          <t>SV017</t>
        </is>
      </c>
      <c r="B248" s="5" t="inlineStr">
        <is>
          <t>Ablación por Radiofrecuencia</t>
        </is>
      </c>
      <c r="C248" s="5" t="inlineStr">
        <is>
          <t>Sede Norte - Bogotá</t>
        </is>
      </c>
      <c r="D248" s="5" t="inlineStr">
        <is>
          <t>Nueva EPS</t>
        </is>
      </c>
      <c r="E248" s="6" t="n">
        <v>3</v>
      </c>
      <c r="F248" s="11" t="n">
        <v>17423507</v>
      </c>
      <c r="G248" s="12">
        <f>E248*F248</f>
        <v/>
      </c>
    </row>
    <row r="249">
      <c r="A249" s="5" t="inlineStr">
        <is>
          <t>SV017</t>
        </is>
      </c>
      <c r="B249" s="5" t="inlineStr">
        <is>
          <t>Ablación por Radiofrecuencia</t>
        </is>
      </c>
      <c r="C249" s="5" t="inlineStr">
        <is>
          <t>Sede Sur - Medellín</t>
        </is>
      </c>
      <c r="D249" s="5" t="inlineStr">
        <is>
          <t>SURA</t>
        </is>
      </c>
      <c r="E249" s="6" t="n">
        <v>3</v>
      </c>
      <c r="F249" s="11" t="n">
        <v>8476625</v>
      </c>
      <c r="G249" s="12">
        <f>E249*F249</f>
        <v/>
      </c>
    </row>
    <row r="250">
      <c r="A250" s="5" t="inlineStr">
        <is>
          <t>SV017</t>
        </is>
      </c>
      <c r="B250" s="5" t="inlineStr">
        <is>
          <t>Ablación por Radiofrecuencia</t>
        </is>
      </c>
      <c r="C250" s="5" t="inlineStr">
        <is>
          <t>Sede Sur - Medellín</t>
        </is>
      </c>
      <c r="D250" s="5" t="inlineStr">
        <is>
          <t>Sanitas</t>
        </is>
      </c>
      <c r="E250" s="6" t="n">
        <v>1</v>
      </c>
      <c r="F250" s="11" t="n">
        <v>20626004</v>
      </c>
      <c r="G250" s="12">
        <f>E250*F250</f>
        <v/>
      </c>
    </row>
    <row r="251">
      <c r="A251" s="5" t="inlineStr">
        <is>
          <t>SV017</t>
        </is>
      </c>
      <c r="B251" s="5" t="inlineStr">
        <is>
          <t>Ablación por Radiofrecuencia</t>
        </is>
      </c>
      <c r="C251" s="5" t="inlineStr">
        <is>
          <t>Sede Sur - Medellín</t>
        </is>
      </c>
      <c r="D251" s="5" t="inlineStr">
        <is>
          <t>Compensar</t>
        </is>
      </c>
      <c r="E251" s="6" t="n">
        <v>3</v>
      </c>
      <c r="F251" s="11" t="n">
        <v>26297208</v>
      </c>
      <c r="G251" s="12">
        <f>E251*F251</f>
        <v/>
      </c>
    </row>
    <row r="252">
      <c r="A252" s="5" t="inlineStr">
        <is>
          <t>SV017</t>
        </is>
      </c>
      <c r="B252" s="5" t="inlineStr">
        <is>
          <t>Ablación por Radiofrecuencia</t>
        </is>
      </c>
      <c r="C252" s="5" t="inlineStr">
        <is>
          <t>Sede Sur - Medellín</t>
        </is>
      </c>
      <c r="D252" s="5" t="inlineStr">
        <is>
          <t>Salud Total</t>
        </is>
      </c>
      <c r="E252" s="6" t="n">
        <v>1</v>
      </c>
      <c r="F252" s="11" t="n">
        <v>24654407</v>
      </c>
      <c r="G252" s="12">
        <f>E252*F252</f>
        <v/>
      </c>
    </row>
    <row r="253">
      <c r="A253" s="5" t="inlineStr">
        <is>
          <t>SV017</t>
        </is>
      </c>
      <c r="B253" s="5" t="inlineStr">
        <is>
          <t>Ablación por Radiofrecuencia</t>
        </is>
      </c>
      <c r="C253" s="5" t="inlineStr">
        <is>
          <t>Sede Sur - Medellín</t>
        </is>
      </c>
      <c r="D253" s="5" t="inlineStr">
        <is>
          <t>Nueva EPS</t>
        </is>
      </c>
      <c r="E253" s="6" t="n">
        <v>1</v>
      </c>
      <c r="F253" s="11" t="n">
        <v>25941888</v>
      </c>
      <c r="G253" s="12">
        <f>E253*F253</f>
        <v/>
      </c>
    </row>
    <row r="254">
      <c r="A254" s="5" t="inlineStr">
        <is>
          <t>SV017</t>
        </is>
      </c>
      <c r="B254" s="5" t="inlineStr">
        <is>
          <t>Ablación por Radiofrecuencia</t>
        </is>
      </c>
      <c r="C254" s="5" t="inlineStr">
        <is>
          <t>Sede Centro - Cali</t>
        </is>
      </c>
      <c r="D254" s="5" t="inlineStr">
        <is>
          <t>SURA</t>
        </is>
      </c>
      <c r="E254" s="6" t="n">
        <v>2</v>
      </c>
      <c r="F254" s="11" t="n">
        <v>31841881</v>
      </c>
      <c r="G254" s="12">
        <f>E254*F254</f>
        <v/>
      </c>
    </row>
    <row r="255">
      <c r="A255" s="5" t="inlineStr">
        <is>
          <t>SV017</t>
        </is>
      </c>
      <c r="B255" s="5" t="inlineStr">
        <is>
          <t>Ablación por Radiofrecuencia</t>
        </is>
      </c>
      <c r="C255" s="5" t="inlineStr">
        <is>
          <t>Sede Centro - Cali</t>
        </is>
      </c>
      <c r="D255" s="5" t="inlineStr">
        <is>
          <t>Sanitas</t>
        </is>
      </c>
      <c r="E255" s="6" t="n">
        <v>1</v>
      </c>
      <c r="F255" s="11" t="n">
        <v>32458771</v>
      </c>
      <c r="G255" s="12">
        <f>E255*F255</f>
        <v/>
      </c>
    </row>
    <row r="256">
      <c r="A256" s="5" t="inlineStr">
        <is>
          <t>SV017</t>
        </is>
      </c>
      <c r="B256" s="5" t="inlineStr">
        <is>
          <t>Ablación por Radiofrecuencia</t>
        </is>
      </c>
      <c r="C256" s="5" t="inlineStr">
        <is>
          <t>Sede Centro - Cali</t>
        </is>
      </c>
      <c r="D256" s="5" t="inlineStr">
        <is>
          <t>Compensar</t>
        </is>
      </c>
      <c r="E256" s="6" t="n">
        <v>3</v>
      </c>
      <c r="F256" s="11" t="n">
        <v>18439496</v>
      </c>
      <c r="G256" s="12">
        <f>E256*F256</f>
        <v/>
      </c>
    </row>
    <row r="257">
      <c r="A257" s="5" t="inlineStr">
        <is>
          <t>SV017</t>
        </is>
      </c>
      <c r="B257" s="5" t="inlineStr">
        <is>
          <t>Ablación por Radiofrecuencia</t>
        </is>
      </c>
      <c r="C257" s="5" t="inlineStr">
        <is>
          <t>Sede Centro - Cali</t>
        </is>
      </c>
      <c r="D257" s="5" t="inlineStr">
        <is>
          <t>Salud Total</t>
        </is>
      </c>
      <c r="E257" s="6" t="n">
        <v>3</v>
      </c>
      <c r="F257" s="11" t="n">
        <v>15943657</v>
      </c>
      <c r="G257" s="12">
        <f>E257*F257</f>
        <v/>
      </c>
    </row>
    <row r="258">
      <c r="A258" s="5" t="inlineStr">
        <is>
          <t>SV017</t>
        </is>
      </c>
      <c r="B258" s="5" t="inlineStr">
        <is>
          <t>Ablación por Radiofrecuencia</t>
        </is>
      </c>
      <c r="C258" s="5" t="inlineStr">
        <is>
          <t>Sede Centro - Cali</t>
        </is>
      </c>
      <c r="D258" s="5" t="inlineStr">
        <is>
          <t>Nueva EPS</t>
        </is>
      </c>
      <c r="E258" s="6" t="n">
        <v>2</v>
      </c>
      <c r="F258" s="11" t="n">
        <v>8236308</v>
      </c>
      <c r="G258" s="12">
        <f>E258*F258</f>
        <v/>
      </c>
    </row>
    <row r="259">
      <c r="A259" s="5" t="inlineStr">
        <is>
          <t>SV018</t>
        </is>
      </c>
      <c r="B259" s="5" t="inlineStr">
        <is>
          <t>Cierre de CIA</t>
        </is>
      </c>
      <c r="C259" s="5" t="inlineStr">
        <is>
          <t>Sede Norte - Bogotá</t>
        </is>
      </c>
      <c r="D259" s="5" t="inlineStr">
        <is>
          <t>SURA</t>
        </is>
      </c>
      <c r="E259" s="6" t="n">
        <v>2</v>
      </c>
      <c r="F259" s="11" t="n">
        <v>31795625</v>
      </c>
      <c r="G259" s="12">
        <f>E259*F259</f>
        <v/>
      </c>
    </row>
    <row r="260">
      <c r="A260" s="5" t="inlineStr">
        <is>
          <t>SV018</t>
        </is>
      </c>
      <c r="B260" s="5" t="inlineStr">
        <is>
          <t>Cierre de CIA</t>
        </is>
      </c>
      <c r="C260" s="5" t="inlineStr">
        <is>
          <t>Sede Norte - Bogotá</t>
        </is>
      </c>
      <c r="D260" s="5" t="inlineStr">
        <is>
          <t>Sanitas</t>
        </is>
      </c>
      <c r="E260" s="6" t="n">
        <v>2</v>
      </c>
      <c r="F260" s="11" t="n">
        <v>21885013</v>
      </c>
      <c r="G260" s="12">
        <f>E260*F260</f>
        <v/>
      </c>
    </row>
    <row r="261">
      <c r="A261" s="5" t="inlineStr">
        <is>
          <t>SV018</t>
        </is>
      </c>
      <c r="B261" s="5" t="inlineStr">
        <is>
          <t>Cierre de CIA</t>
        </is>
      </c>
      <c r="C261" s="5" t="inlineStr">
        <is>
          <t>Sede Norte - Bogotá</t>
        </is>
      </c>
      <c r="D261" s="5" t="inlineStr">
        <is>
          <t>Compensar</t>
        </is>
      </c>
      <c r="E261" s="6" t="n">
        <v>1</v>
      </c>
      <c r="F261" s="11" t="n">
        <v>8986440</v>
      </c>
      <c r="G261" s="12">
        <f>E261*F261</f>
        <v/>
      </c>
    </row>
    <row r="262">
      <c r="A262" s="5" t="inlineStr">
        <is>
          <t>SV018</t>
        </is>
      </c>
      <c r="B262" s="5" t="inlineStr">
        <is>
          <t>Cierre de CIA</t>
        </is>
      </c>
      <c r="C262" s="5" t="inlineStr">
        <is>
          <t>Sede Norte - Bogotá</t>
        </is>
      </c>
      <c r="D262" s="5" t="inlineStr">
        <is>
          <t>Salud Total</t>
        </is>
      </c>
      <c r="E262" s="6" t="n">
        <v>1</v>
      </c>
      <c r="F262" s="11" t="n">
        <v>21369957</v>
      </c>
      <c r="G262" s="12">
        <f>E262*F262</f>
        <v/>
      </c>
    </row>
    <row r="263">
      <c r="A263" s="5" t="inlineStr">
        <is>
          <t>SV018</t>
        </is>
      </c>
      <c r="B263" s="5" t="inlineStr">
        <is>
          <t>Cierre de CIA</t>
        </is>
      </c>
      <c r="C263" s="5" t="inlineStr">
        <is>
          <t>Sede Norte - Bogotá</t>
        </is>
      </c>
      <c r="D263" s="5" t="inlineStr">
        <is>
          <t>Nueva EPS</t>
        </is>
      </c>
      <c r="E263" s="6" t="n">
        <v>3</v>
      </c>
      <c r="F263" s="11" t="n">
        <v>19006687</v>
      </c>
      <c r="G263" s="12">
        <f>E263*F263</f>
        <v/>
      </c>
    </row>
    <row r="264">
      <c r="A264" s="5" t="inlineStr">
        <is>
          <t>SV018</t>
        </is>
      </c>
      <c r="B264" s="5" t="inlineStr">
        <is>
          <t>Cierre de CIA</t>
        </is>
      </c>
      <c r="C264" s="5" t="inlineStr">
        <is>
          <t>Sede Sur - Medellín</t>
        </is>
      </c>
      <c r="D264" s="5" t="inlineStr">
        <is>
          <t>SURA</t>
        </is>
      </c>
      <c r="E264" s="6" t="n">
        <v>2</v>
      </c>
      <c r="F264" s="11" t="n">
        <v>8844416</v>
      </c>
      <c r="G264" s="12">
        <f>E264*F264</f>
        <v/>
      </c>
    </row>
    <row r="265">
      <c r="A265" s="5" t="inlineStr">
        <is>
          <t>SV018</t>
        </is>
      </c>
      <c r="B265" s="5" t="inlineStr">
        <is>
          <t>Cierre de CIA</t>
        </is>
      </c>
      <c r="C265" s="5" t="inlineStr">
        <is>
          <t>Sede Sur - Medellín</t>
        </is>
      </c>
      <c r="D265" s="5" t="inlineStr">
        <is>
          <t>Sanitas</t>
        </is>
      </c>
      <c r="E265" s="6" t="n">
        <v>3</v>
      </c>
      <c r="F265" s="11" t="n">
        <v>31589189</v>
      </c>
      <c r="G265" s="12">
        <f>E265*F265</f>
        <v/>
      </c>
    </row>
    <row r="266">
      <c r="A266" s="5" t="inlineStr">
        <is>
          <t>SV018</t>
        </is>
      </c>
      <c r="B266" s="5" t="inlineStr">
        <is>
          <t>Cierre de CIA</t>
        </is>
      </c>
      <c r="C266" s="5" t="inlineStr">
        <is>
          <t>Sede Sur - Medellín</t>
        </is>
      </c>
      <c r="D266" s="5" t="inlineStr">
        <is>
          <t>Compensar</t>
        </is>
      </c>
      <c r="E266" s="6" t="n">
        <v>1</v>
      </c>
      <c r="F266" s="11" t="n">
        <v>33430972</v>
      </c>
      <c r="G266" s="12">
        <f>E266*F266</f>
        <v/>
      </c>
    </row>
    <row r="267">
      <c r="A267" s="5" t="inlineStr">
        <is>
          <t>SV018</t>
        </is>
      </c>
      <c r="B267" s="5" t="inlineStr">
        <is>
          <t>Cierre de CIA</t>
        </is>
      </c>
      <c r="C267" s="5" t="inlineStr">
        <is>
          <t>Sede Sur - Medellín</t>
        </is>
      </c>
      <c r="D267" s="5" t="inlineStr">
        <is>
          <t>Salud Total</t>
        </is>
      </c>
      <c r="E267" s="6" t="n">
        <v>3</v>
      </c>
      <c r="F267" s="11" t="n">
        <v>26281033</v>
      </c>
      <c r="G267" s="12">
        <f>E267*F267</f>
        <v/>
      </c>
    </row>
    <row r="268">
      <c r="A268" s="5" t="inlineStr">
        <is>
          <t>SV018</t>
        </is>
      </c>
      <c r="B268" s="5" t="inlineStr">
        <is>
          <t>Cierre de CIA</t>
        </is>
      </c>
      <c r="C268" s="5" t="inlineStr">
        <is>
          <t>Sede Sur - Medellín</t>
        </is>
      </c>
      <c r="D268" s="5" t="inlineStr">
        <is>
          <t>Nueva EPS</t>
        </is>
      </c>
      <c r="E268" s="6" t="n">
        <v>1</v>
      </c>
      <c r="F268" s="11" t="n">
        <v>32042000</v>
      </c>
      <c r="G268" s="12">
        <f>E268*F268</f>
        <v/>
      </c>
    </row>
    <row r="269">
      <c r="A269" s="5" t="inlineStr">
        <is>
          <t>SV018</t>
        </is>
      </c>
      <c r="B269" s="5" t="inlineStr">
        <is>
          <t>Cierre de CIA</t>
        </is>
      </c>
      <c r="C269" s="5" t="inlineStr">
        <is>
          <t>Sede Centro - Cali</t>
        </is>
      </c>
      <c r="D269" s="5" t="inlineStr">
        <is>
          <t>SURA</t>
        </is>
      </c>
      <c r="E269" s="6" t="n">
        <v>3</v>
      </c>
      <c r="F269" s="11" t="n">
        <v>18643525</v>
      </c>
      <c r="G269" s="12">
        <f>E269*F269</f>
        <v/>
      </c>
    </row>
    <row r="270">
      <c r="A270" s="5" t="inlineStr">
        <is>
          <t>SV018</t>
        </is>
      </c>
      <c r="B270" s="5" t="inlineStr">
        <is>
          <t>Cierre de CIA</t>
        </is>
      </c>
      <c r="C270" s="5" t="inlineStr">
        <is>
          <t>Sede Centro - Cali</t>
        </is>
      </c>
      <c r="D270" s="5" t="inlineStr">
        <is>
          <t>Sanitas</t>
        </is>
      </c>
      <c r="E270" s="6" t="n">
        <v>2</v>
      </c>
      <c r="F270" s="11" t="n">
        <v>20102930</v>
      </c>
      <c r="G270" s="12">
        <f>E270*F270</f>
        <v/>
      </c>
    </row>
    <row r="271">
      <c r="A271" s="5" t="inlineStr">
        <is>
          <t>SV018</t>
        </is>
      </c>
      <c r="B271" s="5" t="inlineStr">
        <is>
          <t>Cierre de CIA</t>
        </is>
      </c>
      <c r="C271" s="5" t="inlineStr">
        <is>
          <t>Sede Centro - Cali</t>
        </is>
      </c>
      <c r="D271" s="5" t="inlineStr">
        <is>
          <t>Compensar</t>
        </is>
      </c>
      <c r="E271" s="6" t="n">
        <v>1</v>
      </c>
      <c r="F271" s="11" t="n">
        <v>9531396</v>
      </c>
      <c r="G271" s="12">
        <f>E271*F271</f>
        <v/>
      </c>
    </row>
    <row r="272">
      <c r="A272" s="5" t="inlineStr">
        <is>
          <t>SV018</t>
        </is>
      </c>
      <c r="B272" s="5" t="inlineStr">
        <is>
          <t>Cierre de CIA</t>
        </is>
      </c>
      <c r="C272" s="5" t="inlineStr">
        <is>
          <t>Sede Centro - Cali</t>
        </is>
      </c>
      <c r="D272" s="5" t="inlineStr">
        <is>
          <t>Salud Total</t>
        </is>
      </c>
      <c r="E272" s="6" t="n">
        <v>1</v>
      </c>
      <c r="F272" s="11" t="n">
        <v>16821974</v>
      </c>
      <c r="G272" s="12">
        <f>E272*F272</f>
        <v/>
      </c>
    </row>
    <row r="273">
      <c r="A273" s="5" t="inlineStr">
        <is>
          <t>SV018</t>
        </is>
      </c>
      <c r="B273" s="5" t="inlineStr">
        <is>
          <t>Cierre de CIA</t>
        </is>
      </c>
      <c r="C273" s="5" t="inlineStr">
        <is>
          <t>Sede Centro - Cali</t>
        </is>
      </c>
      <c r="D273" s="5" t="inlineStr">
        <is>
          <t>Nueva EPS</t>
        </is>
      </c>
      <c r="E273" s="6" t="n">
        <v>1</v>
      </c>
      <c r="F273" s="11" t="n">
        <v>24220648</v>
      </c>
      <c r="G273" s="12">
        <f>E273*F273</f>
        <v/>
      </c>
    </row>
    <row r="274">
      <c r="A274" s="5" t="inlineStr">
        <is>
          <t>SV019</t>
        </is>
      </c>
      <c r="B274" s="5" t="inlineStr">
        <is>
          <t>Estudio Hemodinámico Completo</t>
        </is>
      </c>
      <c r="C274" s="5" t="inlineStr">
        <is>
          <t>Sede Norte - Bogotá</t>
        </is>
      </c>
      <c r="D274" s="5" t="inlineStr">
        <is>
          <t>SURA</t>
        </is>
      </c>
      <c r="E274" s="6" t="n">
        <v>3</v>
      </c>
      <c r="F274" s="11" t="n">
        <v>2016777</v>
      </c>
      <c r="G274" s="12">
        <f>E274*F274</f>
        <v/>
      </c>
    </row>
    <row r="275">
      <c r="A275" s="5" t="inlineStr">
        <is>
          <t>SV019</t>
        </is>
      </c>
      <c r="B275" s="5" t="inlineStr">
        <is>
          <t>Estudio Hemodinámico Completo</t>
        </is>
      </c>
      <c r="C275" s="5" t="inlineStr">
        <is>
          <t>Sede Norte - Bogotá</t>
        </is>
      </c>
      <c r="D275" s="5" t="inlineStr">
        <is>
          <t>Sanitas</t>
        </is>
      </c>
      <c r="E275" s="6" t="n">
        <v>4</v>
      </c>
      <c r="F275" s="11" t="n">
        <v>2504845</v>
      </c>
      <c r="G275" s="12">
        <f>E275*F275</f>
        <v/>
      </c>
    </row>
    <row r="276">
      <c r="A276" s="5" t="inlineStr">
        <is>
          <t>SV019</t>
        </is>
      </c>
      <c r="B276" s="5" t="inlineStr">
        <is>
          <t>Estudio Hemodinámico Completo</t>
        </is>
      </c>
      <c r="C276" s="5" t="inlineStr">
        <is>
          <t>Sede Norte - Bogotá</t>
        </is>
      </c>
      <c r="D276" s="5" t="inlineStr">
        <is>
          <t>Compensar</t>
        </is>
      </c>
      <c r="E276" s="6" t="n">
        <v>6</v>
      </c>
      <c r="F276" s="11" t="n">
        <v>1897929</v>
      </c>
      <c r="G276" s="12">
        <f>E276*F276</f>
        <v/>
      </c>
    </row>
    <row r="277">
      <c r="A277" s="5" t="inlineStr">
        <is>
          <t>SV019</t>
        </is>
      </c>
      <c r="B277" s="5" t="inlineStr">
        <is>
          <t>Estudio Hemodinámico Completo</t>
        </is>
      </c>
      <c r="C277" s="5" t="inlineStr">
        <is>
          <t>Sede Norte - Bogotá</t>
        </is>
      </c>
      <c r="D277" s="5" t="inlineStr">
        <is>
          <t>Salud Total</t>
        </is>
      </c>
      <c r="E277" s="6" t="n">
        <v>2</v>
      </c>
      <c r="F277" s="11" t="n">
        <v>1821705</v>
      </c>
      <c r="G277" s="12">
        <f>E277*F277</f>
        <v/>
      </c>
    </row>
    <row r="278">
      <c r="A278" s="5" t="inlineStr">
        <is>
          <t>SV019</t>
        </is>
      </c>
      <c r="B278" s="5" t="inlineStr">
        <is>
          <t>Estudio Hemodinámico Completo</t>
        </is>
      </c>
      <c r="C278" s="5" t="inlineStr">
        <is>
          <t>Sede Norte - Bogotá</t>
        </is>
      </c>
      <c r="D278" s="5" t="inlineStr">
        <is>
          <t>Nueva EPS</t>
        </is>
      </c>
      <c r="E278" s="6" t="n">
        <v>4</v>
      </c>
      <c r="F278" s="11" t="n">
        <v>2688696</v>
      </c>
      <c r="G278" s="12">
        <f>E278*F278</f>
        <v/>
      </c>
    </row>
    <row r="279">
      <c r="A279" s="5" t="inlineStr">
        <is>
          <t>SV019</t>
        </is>
      </c>
      <c r="B279" s="5" t="inlineStr">
        <is>
          <t>Estudio Hemodinámico Completo</t>
        </is>
      </c>
      <c r="C279" s="5" t="inlineStr">
        <is>
          <t>Sede Sur - Medellín</t>
        </is>
      </c>
      <c r="D279" s="5" t="inlineStr">
        <is>
          <t>SURA</t>
        </is>
      </c>
      <c r="E279" s="6" t="n">
        <v>3</v>
      </c>
      <c r="F279" s="11" t="n">
        <v>2699692</v>
      </c>
      <c r="G279" s="12">
        <f>E279*F279</f>
        <v/>
      </c>
    </row>
    <row r="280">
      <c r="A280" s="5" t="inlineStr">
        <is>
          <t>SV019</t>
        </is>
      </c>
      <c r="B280" s="5" t="inlineStr">
        <is>
          <t>Estudio Hemodinámico Completo</t>
        </is>
      </c>
      <c r="C280" s="5" t="inlineStr">
        <is>
          <t>Sede Sur - Medellín</t>
        </is>
      </c>
      <c r="D280" s="5" t="inlineStr">
        <is>
          <t>Sanitas</t>
        </is>
      </c>
      <c r="E280" s="6" t="n">
        <v>2</v>
      </c>
      <c r="F280" s="11" t="n">
        <v>1826375</v>
      </c>
      <c r="G280" s="12">
        <f>E280*F280</f>
        <v/>
      </c>
    </row>
    <row r="281">
      <c r="A281" s="5" t="inlineStr">
        <is>
          <t>SV019</t>
        </is>
      </c>
      <c r="B281" s="5" t="inlineStr">
        <is>
          <t>Estudio Hemodinámico Completo</t>
        </is>
      </c>
      <c r="C281" s="5" t="inlineStr">
        <is>
          <t>Sede Sur - Medellín</t>
        </is>
      </c>
      <c r="D281" s="5" t="inlineStr">
        <is>
          <t>Compensar</t>
        </is>
      </c>
      <c r="E281" s="6" t="n">
        <v>2</v>
      </c>
      <c r="F281" s="11" t="n">
        <v>3018703</v>
      </c>
      <c r="G281" s="12">
        <f>E281*F281</f>
        <v/>
      </c>
    </row>
    <row r="282">
      <c r="A282" s="5" t="inlineStr">
        <is>
          <t>SV019</t>
        </is>
      </c>
      <c r="B282" s="5" t="inlineStr">
        <is>
          <t>Estudio Hemodinámico Completo</t>
        </is>
      </c>
      <c r="C282" s="5" t="inlineStr">
        <is>
          <t>Sede Sur - Medellín</t>
        </is>
      </c>
      <c r="D282" s="5" t="inlineStr">
        <is>
          <t>Salud Total</t>
        </is>
      </c>
      <c r="E282" s="6" t="n">
        <v>2</v>
      </c>
      <c r="F282" s="11" t="n">
        <v>1970285</v>
      </c>
      <c r="G282" s="12">
        <f>E282*F282</f>
        <v/>
      </c>
    </row>
    <row r="283">
      <c r="A283" s="5" t="inlineStr">
        <is>
          <t>SV019</t>
        </is>
      </c>
      <c r="B283" s="5" t="inlineStr">
        <is>
          <t>Estudio Hemodinámico Completo</t>
        </is>
      </c>
      <c r="C283" s="5" t="inlineStr">
        <is>
          <t>Sede Sur - Medellín</t>
        </is>
      </c>
      <c r="D283" s="5" t="inlineStr">
        <is>
          <t>Nueva EPS</t>
        </is>
      </c>
      <c r="E283" s="6" t="n">
        <v>5</v>
      </c>
      <c r="F283" s="11" t="n">
        <v>2670586</v>
      </c>
      <c r="G283" s="12">
        <f>E283*F283</f>
        <v/>
      </c>
    </row>
    <row r="284">
      <c r="A284" s="5" t="inlineStr">
        <is>
          <t>SV019</t>
        </is>
      </c>
      <c r="B284" s="5" t="inlineStr">
        <is>
          <t>Estudio Hemodinámico Completo</t>
        </is>
      </c>
      <c r="C284" s="5" t="inlineStr">
        <is>
          <t>Sede Centro - Cali</t>
        </is>
      </c>
      <c r="D284" s="5" t="inlineStr">
        <is>
          <t>SURA</t>
        </is>
      </c>
      <c r="E284" s="6" t="n">
        <v>6</v>
      </c>
      <c r="F284" s="11" t="n">
        <v>2090196</v>
      </c>
      <c r="G284" s="12">
        <f>E284*F284</f>
        <v/>
      </c>
    </row>
    <row r="285">
      <c r="A285" s="5" t="inlineStr">
        <is>
          <t>SV019</t>
        </is>
      </c>
      <c r="B285" s="5" t="inlineStr">
        <is>
          <t>Estudio Hemodinámico Completo</t>
        </is>
      </c>
      <c r="C285" s="5" t="inlineStr">
        <is>
          <t>Sede Centro - Cali</t>
        </is>
      </c>
      <c r="D285" s="5" t="inlineStr">
        <is>
          <t>Sanitas</t>
        </is>
      </c>
      <c r="E285" s="6" t="n">
        <v>5</v>
      </c>
      <c r="F285" s="11" t="n">
        <v>1630652</v>
      </c>
      <c r="G285" s="12">
        <f>E285*F285</f>
        <v/>
      </c>
    </row>
    <row r="286">
      <c r="A286" s="5" t="inlineStr">
        <is>
          <t>SV019</t>
        </is>
      </c>
      <c r="B286" s="5" t="inlineStr">
        <is>
          <t>Estudio Hemodinámico Completo</t>
        </is>
      </c>
      <c r="C286" s="5" t="inlineStr">
        <is>
          <t>Sede Centro - Cali</t>
        </is>
      </c>
      <c r="D286" s="5" t="inlineStr">
        <is>
          <t>Compensar</t>
        </is>
      </c>
      <c r="E286" s="6" t="n">
        <v>4</v>
      </c>
      <c r="F286" s="11" t="n">
        <v>2349361</v>
      </c>
      <c r="G286" s="12">
        <f>E286*F286</f>
        <v/>
      </c>
    </row>
    <row r="287">
      <c r="A287" s="5" t="inlineStr">
        <is>
          <t>SV019</t>
        </is>
      </c>
      <c r="B287" s="5" t="inlineStr">
        <is>
          <t>Estudio Hemodinámico Completo</t>
        </is>
      </c>
      <c r="C287" s="5" t="inlineStr">
        <is>
          <t>Sede Centro - Cali</t>
        </is>
      </c>
      <c r="D287" s="5" t="inlineStr">
        <is>
          <t>Salud Total</t>
        </is>
      </c>
      <c r="E287" s="6" t="n">
        <v>4</v>
      </c>
      <c r="F287" s="11" t="n">
        <v>1944619</v>
      </c>
      <c r="G287" s="12">
        <f>E287*F287</f>
        <v/>
      </c>
    </row>
    <row r="288">
      <c r="A288" s="5" t="inlineStr">
        <is>
          <t>SV019</t>
        </is>
      </c>
      <c r="B288" s="5" t="inlineStr">
        <is>
          <t>Estudio Hemodinámico Completo</t>
        </is>
      </c>
      <c r="C288" s="5" t="inlineStr">
        <is>
          <t>Sede Centro - Cali</t>
        </is>
      </c>
      <c r="D288" s="5" t="inlineStr">
        <is>
          <t>Nueva EPS</t>
        </is>
      </c>
      <c r="E288" s="6" t="n">
        <v>2</v>
      </c>
      <c r="F288" s="11" t="n">
        <v>2984780</v>
      </c>
      <c r="G288" s="12">
        <f>E288*F288</f>
        <v/>
      </c>
    </row>
    <row r="289">
      <c r="A289" s="5" t="inlineStr">
        <is>
          <t>SV020</t>
        </is>
      </c>
      <c r="B289" s="5" t="inlineStr">
        <is>
          <t>Biopsia Endomiocárdica</t>
        </is>
      </c>
      <c r="C289" s="5" t="inlineStr">
        <is>
          <t>Sede Norte - Bogotá</t>
        </is>
      </c>
      <c r="D289" s="5" t="inlineStr">
        <is>
          <t>SURA</t>
        </is>
      </c>
      <c r="E289" s="6" t="n">
        <v>5</v>
      </c>
      <c r="F289" s="11" t="n">
        <v>2763670</v>
      </c>
      <c r="G289" s="12">
        <f>E289*F289</f>
        <v/>
      </c>
    </row>
    <row r="290">
      <c r="A290" s="5" t="inlineStr">
        <is>
          <t>SV020</t>
        </is>
      </c>
      <c r="B290" s="5" t="inlineStr">
        <is>
          <t>Biopsia Endomiocárdica</t>
        </is>
      </c>
      <c r="C290" s="5" t="inlineStr">
        <is>
          <t>Sede Norte - Bogotá</t>
        </is>
      </c>
      <c r="D290" s="5" t="inlineStr">
        <is>
          <t>Sanitas</t>
        </is>
      </c>
      <c r="E290" s="6" t="n">
        <v>2</v>
      </c>
      <c r="F290" s="11" t="n">
        <v>1542495</v>
      </c>
      <c r="G290" s="12">
        <f>E290*F290</f>
        <v/>
      </c>
    </row>
    <row r="291">
      <c r="A291" s="5" t="inlineStr">
        <is>
          <t>SV020</t>
        </is>
      </c>
      <c r="B291" s="5" t="inlineStr">
        <is>
          <t>Biopsia Endomiocárdica</t>
        </is>
      </c>
      <c r="C291" s="5" t="inlineStr">
        <is>
          <t>Sede Norte - Bogotá</t>
        </is>
      </c>
      <c r="D291" s="5" t="inlineStr">
        <is>
          <t>Compensar</t>
        </is>
      </c>
      <c r="E291" s="6" t="n">
        <v>5</v>
      </c>
      <c r="F291" s="11" t="n">
        <v>1708562</v>
      </c>
      <c r="G291" s="12">
        <f>E291*F291</f>
        <v/>
      </c>
    </row>
    <row r="292">
      <c r="A292" s="5" t="inlineStr">
        <is>
          <t>SV020</t>
        </is>
      </c>
      <c r="B292" s="5" t="inlineStr">
        <is>
          <t>Biopsia Endomiocárdica</t>
        </is>
      </c>
      <c r="C292" s="5" t="inlineStr">
        <is>
          <t>Sede Norte - Bogotá</t>
        </is>
      </c>
      <c r="D292" s="5" t="inlineStr">
        <is>
          <t>Salud Total</t>
        </is>
      </c>
      <c r="E292" s="6" t="n">
        <v>6</v>
      </c>
      <c r="F292" s="11" t="n">
        <v>1661909</v>
      </c>
      <c r="G292" s="12">
        <f>E292*F292</f>
        <v/>
      </c>
    </row>
    <row r="293">
      <c r="A293" s="5" t="inlineStr">
        <is>
          <t>SV020</t>
        </is>
      </c>
      <c r="B293" s="5" t="inlineStr">
        <is>
          <t>Biopsia Endomiocárdica</t>
        </is>
      </c>
      <c r="C293" s="5" t="inlineStr">
        <is>
          <t>Sede Norte - Bogotá</t>
        </is>
      </c>
      <c r="D293" s="5" t="inlineStr">
        <is>
          <t>Nueva EPS</t>
        </is>
      </c>
      <c r="E293" s="6" t="n">
        <v>5</v>
      </c>
      <c r="F293" s="11" t="n">
        <v>1561744</v>
      </c>
      <c r="G293" s="12">
        <f>E293*F293</f>
        <v/>
      </c>
    </row>
    <row r="294">
      <c r="A294" s="5" t="inlineStr">
        <is>
          <t>SV020</t>
        </is>
      </c>
      <c r="B294" s="5" t="inlineStr">
        <is>
          <t>Biopsia Endomiocárdica</t>
        </is>
      </c>
      <c r="C294" s="5" t="inlineStr">
        <is>
          <t>Sede Sur - Medellín</t>
        </is>
      </c>
      <c r="D294" s="5" t="inlineStr">
        <is>
          <t>SURA</t>
        </is>
      </c>
      <c r="E294" s="6" t="n">
        <v>6</v>
      </c>
      <c r="F294" s="11" t="n">
        <v>2073804</v>
      </c>
      <c r="G294" s="12">
        <f>E294*F294</f>
        <v/>
      </c>
    </row>
    <row r="295">
      <c r="A295" s="5" t="inlineStr">
        <is>
          <t>SV020</t>
        </is>
      </c>
      <c r="B295" s="5" t="inlineStr">
        <is>
          <t>Biopsia Endomiocárdica</t>
        </is>
      </c>
      <c r="C295" s="5" t="inlineStr">
        <is>
          <t>Sede Sur - Medellín</t>
        </is>
      </c>
      <c r="D295" s="5" t="inlineStr">
        <is>
          <t>Sanitas</t>
        </is>
      </c>
      <c r="E295" s="6" t="n">
        <v>2</v>
      </c>
      <c r="F295" s="11" t="n">
        <v>2537163</v>
      </c>
      <c r="G295" s="12">
        <f>E295*F295</f>
        <v/>
      </c>
    </row>
    <row r="296">
      <c r="A296" s="5" t="inlineStr">
        <is>
          <t>SV020</t>
        </is>
      </c>
      <c r="B296" s="5" t="inlineStr">
        <is>
          <t>Biopsia Endomiocárdica</t>
        </is>
      </c>
      <c r="C296" s="5" t="inlineStr">
        <is>
          <t>Sede Sur - Medellín</t>
        </is>
      </c>
      <c r="D296" s="5" t="inlineStr">
        <is>
          <t>Compensar</t>
        </is>
      </c>
      <c r="E296" s="6" t="n">
        <v>4</v>
      </c>
      <c r="F296" s="11" t="n">
        <v>2658398</v>
      </c>
      <c r="G296" s="12">
        <f>E296*F296</f>
        <v/>
      </c>
    </row>
    <row r="297">
      <c r="A297" s="5" t="inlineStr">
        <is>
          <t>SV020</t>
        </is>
      </c>
      <c r="B297" s="5" t="inlineStr">
        <is>
          <t>Biopsia Endomiocárdica</t>
        </is>
      </c>
      <c r="C297" s="5" t="inlineStr">
        <is>
          <t>Sede Sur - Medellín</t>
        </is>
      </c>
      <c r="D297" s="5" t="inlineStr">
        <is>
          <t>Salud Total</t>
        </is>
      </c>
      <c r="E297" s="6" t="n">
        <v>3</v>
      </c>
      <c r="F297" s="11" t="n">
        <v>1776495</v>
      </c>
      <c r="G297" s="12">
        <f>E297*F297</f>
        <v/>
      </c>
    </row>
    <row r="298">
      <c r="A298" s="5" t="inlineStr">
        <is>
          <t>SV020</t>
        </is>
      </c>
      <c r="B298" s="5" t="inlineStr">
        <is>
          <t>Biopsia Endomiocárdica</t>
        </is>
      </c>
      <c r="C298" s="5" t="inlineStr">
        <is>
          <t>Sede Sur - Medellín</t>
        </is>
      </c>
      <c r="D298" s="5" t="inlineStr">
        <is>
          <t>Nueva EPS</t>
        </is>
      </c>
      <c r="E298" s="6" t="n">
        <v>6</v>
      </c>
      <c r="F298" s="11" t="n">
        <v>1562163</v>
      </c>
      <c r="G298" s="12">
        <f>E298*F298</f>
        <v/>
      </c>
    </row>
    <row r="299">
      <c r="A299" s="5" t="inlineStr">
        <is>
          <t>SV020</t>
        </is>
      </c>
      <c r="B299" s="5" t="inlineStr">
        <is>
          <t>Biopsia Endomiocárdica</t>
        </is>
      </c>
      <c r="C299" s="5" t="inlineStr">
        <is>
          <t>Sede Centro - Cali</t>
        </is>
      </c>
      <c r="D299" s="5" t="inlineStr">
        <is>
          <t>SURA</t>
        </is>
      </c>
      <c r="E299" s="6" t="n">
        <v>2</v>
      </c>
      <c r="F299" s="11" t="n">
        <v>2802757</v>
      </c>
      <c r="G299" s="12">
        <f>E299*F299</f>
        <v/>
      </c>
    </row>
    <row r="300">
      <c r="A300" s="5" t="inlineStr">
        <is>
          <t>SV020</t>
        </is>
      </c>
      <c r="B300" s="5" t="inlineStr">
        <is>
          <t>Biopsia Endomiocárdica</t>
        </is>
      </c>
      <c r="C300" s="5" t="inlineStr">
        <is>
          <t>Sede Centro - Cali</t>
        </is>
      </c>
      <c r="D300" s="5" t="inlineStr">
        <is>
          <t>Sanitas</t>
        </is>
      </c>
      <c r="E300" s="6" t="n">
        <v>4</v>
      </c>
      <c r="F300" s="11" t="n">
        <v>3437674</v>
      </c>
      <c r="G300" s="12">
        <f>E300*F300</f>
        <v/>
      </c>
    </row>
    <row r="301">
      <c r="A301" s="5" t="inlineStr">
        <is>
          <t>SV020</t>
        </is>
      </c>
      <c r="B301" s="5" t="inlineStr">
        <is>
          <t>Biopsia Endomiocárdica</t>
        </is>
      </c>
      <c r="C301" s="5" t="inlineStr">
        <is>
          <t>Sede Centro - Cali</t>
        </is>
      </c>
      <c r="D301" s="5" t="inlineStr">
        <is>
          <t>Compensar</t>
        </is>
      </c>
      <c r="E301" s="6" t="n">
        <v>2</v>
      </c>
      <c r="F301" s="11" t="n">
        <v>1944409</v>
      </c>
      <c r="G301" s="12">
        <f>E301*F301</f>
        <v/>
      </c>
    </row>
    <row r="302">
      <c r="A302" s="5" t="inlineStr">
        <is>
          <t>SV020</t>
        </is>
      </c>
      <c r="B302" s="5" t="inlineStr">
        <is>
          <t>Biopsia Endomiocárdica</t>
        </is>
      </c>
      <c r="C302" s="5" t="inlineStr">
        <is>
          <t>Sede Centro - Cali</t>
        </is>
      </c>
      <c r="D302" s="5" t="inlineStr">
        <is>
          <t>Salud Total</t>
        </is>
      </c>
      <c r="E302" s="6" t="n">
        <v>4</v>
      </c>
      <c r="F302" s="11" t="n">
        <v>2543394</v>
      </c>
      <c r="G302" s="12">
        <f>E302*F302</f>
        <v/>
      </c>
    </row>
    <row r="303">
      <c r="A303" s="5" t="inlineStr">
        <is>
          <t>SV020</t>
        </is>
      </c>
      <c r="B303" s="5" t="inlineStr">
        <is>
          <t>Biopsia Endomiocárdica</t>
        </is>
      </c>
      <c r="C303" s="5" t="inlineStr">
        <is>
          <t>Sede Centro - Cali</t>
        </is>
      </c>
      <c r="D303" s="5" t="inlineStr">
        <is>
          <t>Nueva EPS</t>
        </is>
      </c>
      <c r="E303" s="6" t="n">
        <v>3</v>
      </c>
      <c r="F303" s="11" t="n">
        <v>1888093</v>
      </c>
      <c r="G303" s="12">
        <f>E303*F303</f>
        <v/>
      </c>
    </row>
    <row r="304">
      <c r="B304" s="13" t="inlineStr">
        <is>
          <t>TOTAL FACTURACIÓN MENSUAL</t>
        </is>
      </c>
      <c r="E304" s="13">
        <f>SUM(E4:E303)</f>
        <v/>
      </c>
      <c r="G304" s="14">
        <f>SUM(G4:G303)</f>
        <v/>
      </c>
    </row>
  </sheetData>
  <mergeCells count="2">
    <mergeCell ref="A1:G1"/>
    <mergeCell ref="B304:D30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2" customWidth="1" min="10" max="10"/>
    <col width="15" customWidth="1" min="11" max="11"/>
  </cols>
  <sheetData>
    <row r="1">
      <c r="A1" s="24" t="inlineStr">
        <is>
          <t>HOJA DE COSTEO UNITARIO POR SERVICIO (TDABC)</t>
        </is>
      </c>
    </row>
    <row r="2">
      <c r="A2" s="25" t="inlineStr">
        <is>
          <t>Nota: Costo CIF calculado con Tasa Real basada en Capacidad Instalada por Sede.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Sede</t>
        </is>
      </c>
      <c r="D4" s="10" t="inlineStr">
        <is>
          <t>Costo MO Directa</t>
        </is>
      </c>
      <c r="E4" s="10" t="inlineStr">
        <is>
          <t>Costo Insumos</t>
        </is>
      </c>
      <c r="F4" s="10" t="inlineStr">
        <is>
          <t>Costo CIF (Indirecto)</t>
        </is>
      </c>
      <c r="G4" s="10" t="inlineStr">
        <is>
          <t>Costo Unitario Total</t>
        </is>
      </c>
      <c r="H4" s="10" t="inlineStr">
        <is>
          <t>Precio Venta Prom.</t>
        </is>
      </c>
      <c r="I4" s="10" t="inlineStr">
        <is>
          <t>Margen Unitario</t>
        </is>
      </c>
      <c r="J4" s="10" t="inlineStr">
        <is>
          <t>Margen %</t>
        </is>
      </c>
      <c r="K4" s="10" t="inlineStr">
        <is>
          <t>Volumen Mes</t>
        </is>
      </c>
    </row>
    <row r="5">
      <c r="A5" t="inlineStr">
        <is>
          <t>SV00</t>
        </is>
      </c>
      <c r="B5" t="inlineStr">
        <is>
          <t>Ecocardiograma Transtorácico</t>
        </is>
      </c>
      <c r="C5" t="inlineStr">
        <is>
          <t>Sede Norte - Bogotá</t>
        </is>
      </c>
      <c r="D5" s="19">
        <f>SUMIFS(ECUACIONES_TIEMPO!$D:$D,ECUACIONES_TIEMPO!$B:$B,B5)*2200</f>
        <v/>
      </c>
      <c r="E5" s="19">
        <f>SUMIFS(INSUMOS!$F:$F,INSUMOS!$B:$B,B5)</f>
        <v/>
      </c>
      <c r="F5" s="19">
        <f>SUMIFS(ECUACIONES_TIEMPO!$D:$D,ECUACIONES_TIEMPO!$B:$B,B5)*4055.96</f>
        <v/>
      </c>
      <c r="G5" s="19">
        <f>D5+E5+F5</f>
        <v/>
      </c>
      <c r="H5" s="19">
        <f>IFERROR(AVERAGEIFS(PRODUCCION!$F:$F,PRODUCCION!$B:$B,B5,PRODUCCION!$C:$C,C5),0)</f>
        <v/>
      </c>
      <c r="I5" s="19">
        <f>H5-G5</f>
        <v/>
      </c>
      <c r="J5" s="26">
        <f>IF(H5&gt;0,I5/H5,0)</f>
        <v/>
      </c>
      <c r="K5" s="20">
        <f>SUMIFS(PRODUCCION!$E:$E,PRODUCCION!$B:$B,B5,PRODUCCION!$C:$C,C5)</f>
        <v/>
      </c>
    </row>
    <row r="6">
      <c r="A6" t="inlineStr">
        <is>
          <t>SV00</t>
        </is>
      </c>
      <c r="B6" t="inlineStr">
        <is>
          <t>Ecocardiograma Transtorácico</t>
        </is>
      </c>
      <c r="C6" t="inlineStr">
        <is>
          <t>Sede Sur - Medellín</t>
        </is>
      </c>
      <c r="D6" s="19">
        <f>SUMIFS(ECUACIONES_TIEMPO!$D:$D,ECUACIONES_TIEMPO!$B:$B,B6)*2200</f>
        <v/>
      </c>
      <c r="E6" s="19">
        <f>SUMIFS(INSUMOS!$F:$F,INSUMOS!$B:$B,B6)</f>
        <v/>
      </c>
      <c r="F6" s="19">
        <f>SUMIFS(ECUACIONES_TIEMPO!$D:$D,ECUACIONES_TIEMPO!$B:$B,B6)*4055.96</f>
        <v/>
      </c>
      <c r="G6" s="19">
        <f>D6+E6+F6</f>
        <v/>
      </c>
      <c r="H6" s="19">
        <f>IFERROR(AVERAGEIFS(PRODUCCION!$F:$F,PRODUCCION!$B:$B,B6,PRODUCCION!$C:$C,C6),0)</f>
        <v/>
      </c>
      <c r="I6" s="19">
        <f>H6-G6</f>
        <v/>
      </c>
      <c r="J6" s="26">
        <f>IF(H6&gt;0,I6/H6,0)</f>
        <v/>
      </c>
      <c r="K6" s="20">
        <f>SUMIFS(PRODUCCION!$E:$E,PRODUCCION!$B:$B,B6,PRODUCCION!$C:$C,C6)</f>
        <v/>
      </c>
    </row>
    <row r="7">
      <c r="A7" t="inlineStr">
        <is>
          <t>SV00</t>
        </is>
      </c>
      <c r="B7" t="inlineStr">
        <is>
          <t>Ecocardiograma Transtorácico</t>
        </is>
      </c>
      <c r="C7" t="inlineStr">
        <is>
          <t>Sede Centro - Cali</t>
        </is>
      </c>
      <c r="D7" s="19">
        <f>SUMIFS(ECUACIONES_TIEMPO!$D:$D,ECUACIONES_TIEMPO!$B:$B,B7)*2200</f>
        <v/>
      </c>
      <c r="E7" s="19">
        <f>SUMIFS(INSUMOS!$F:$F,INSUMOS!$B:$B,B7)</f>
        <v/>
      </c>
      <c r="F7" s="19">
        <f>SUMIFS(ECUACIONES_TIEMPO!$D:$D,ECUACIONES_TIEMPO!$B:$B,B7)*4055.96</f>
        <v/>
      </c>
      <c r="G7" s="19">
        <f>D7+E7+F7</f>
        <v/>
      </c>
      <c r="H7" s="19">
        <f>IFERROR(AVERAGEIFS(PRODUCCION!$F:$F,PRODUCCION!$B:$B,B7,PRODUCCION!$C:$C,C7),0)</f>
        <v/>
      </c>
      <c r="I7" s="19">
        <f>H7-G7</f>
        <v/>
      </c>
      <c r="J7" s="26">
        <f>IF(H7&gt;0,I7/H7,0)</f>
        <v/>
      </c>
      <c r="K7" s="20">
        <f>SUMIFS(PRODUCCION!$E:$E,PRODUCCION!$B:$B,B7,PRODUCCION!$C:$C,C7)</f>
        <v/>
      </c>
    </row>
    <row r="8">
      <c r="A8" t="inlineStr">
        <is>
          <t>SV00</t>
        </is>
      </c>
      <c r="B8" t="inlineStr">
        <is>
          <t>Ecocardiograma Transesofágico</t>
        </is>
      </c>
      <c r="C8" t="inlineStr">
        <is>
          <t>Sede Norte - Bogotá</t>
        </is>
      </c>
      <c r="D8" s="19">
        <f>SUMIFS(ECUACIONES_TIEMPO!$D:$D,ECUACIONES_TIEMPO!$B:$B,B8)*2200</f>
        <v/>
      </c>
      <c r="E8" s="19">
        <f>SUMIFS(INSUMOS!$F:$F,INSUMOS!$B:$B,B8)</f>
        <v/>
      </c>
      <c r="F8" s="19">
        <f>SUMIFS(ECUACIONES_TIEMPO!$D:$D,ECUACIONES_TIEMPO!$B:$B,B8)*4055.96</f>
        <v/>
      </c>
      <c r="G8" s="19">
        <f>D8+E8+F8</f>
        <v/>
      </c>
      <c r="H8" s="19">
        <f>IFERROR(AVERAGEIFS(PRODUCCION!$F:$F,PRODUCCION!$B:$B,B8,PRODUCCION!$C:$C,C8),0)</f>
        <v/>
      </c>
      <c r="I8" s="19">
        <f>H8-G8</f>
        <v/>
      </c>
      <c r="J8" s="26">
        <f>IF(H8&gt;0,I8/H8,0)</f>
        <v/>
      </c>
      <c r="K8" s="20">
        <f>SUMIFS(PRODUCCION!$E:$E,PRODUCCION!$B:$B,B8,PRODUCCION!$C:$C,C8)</f>
        <v/>
      </c>
    </row>
    <row r="9">
      <c r="A9" t="inlineStr">
        <is>
          <t>SV00</t>
        </is>
      </c>
      <c r="B9" t="inlineStr">
        <is>
          <t>Ecocardiograma Transesofágico</t>
        </is>
      </c>
      <c r="C9" t="inlineStr">
        <is>
          <t>Sede Sur - Medellín</t>
        </is>
      </c>
      <c r="D9" s="19">
        <f>SUMIFS(ECUACIONES_TIEMPO!$D:$D,ECUACIONES_TIEMPO!$B:$B,B9)*2200</f>
        <v/>
      </c>
      <c r="E9" s="19">
        <f>SUMIFS(INSUMOS!$F:$F,INSUMOS!$B:$B,B9)</f>
        <v/>
      </c>
      <c r="F9" s="19">
        <f>SUMIFS(ECUACIONES_TIEMPO!$D:$D,ECUACIONES_TIEMPO!$B:$B,B9)*4055.96</f>
        <v/>
      </c>
      <c r="G9" s="19">
        <f>D9+E9+F9</f>
        <v/>
      </c>
      <c r="H9" s="19">
        <f>IFERROR(AVERAGEIFS(PRODUCCION!$F:$F,PRODUCCION!$B:$B,B9,PRODUCCION!$C:$C,C9),0)</f>
        <v/>
      </c>
      <c r="I9" s="19">
        <f>H9-G9</f>
        <v/>
      </c>
      <c r="J9" s="26">
        <f>IF(H9&gt;0,I9/H9,0)</f>
        <v/>
      </c>
      <c r="K9" s="20">
        <f>SUMIFS(PRODUCCION!$E:$E,PRODUCCION!$B:$B,B9,PRODUCCION!$C:$C,C9)</f>
        <v/>
      </c>
    </row>
    <row r="10">
      <c r="A10" t="inlineStr">
        <is>
          <t>SV00</t>
        </is>
      </c>
      <c r="B10" t="inlineStr">
        <is>
          <t>Ecocardiograma Transesofágico</t>
        </is>
      </c>
      <c r="C10" t="inlineStr">
        <is>
          <t>Sede Centro - Cali</t>
        </is>
      </c>
      <c r="D10" s="19">
        <f>SUMIFS(ECUACIONES_TIEMPO!$D:$D,ECUACIONES_TIEMPO!$B:$B,B10)*2200</f>
        <v/>
      </c>
      <c r="E10" s="19">
        <f>SUMIFS(INSUMOS!$F:$F,INSUMOS!$B:$B,B10)</f>
        <v/>
      </c>
      <c r="F10" s="19">
        <f>SUMIFS(ECUACIONES_TIEMPO!$D:$D,ECUACIONES_TIEMPO!$B:$B,B10)*4055.96</f>
        <v/>
      </c>
      <c r="G10" s="19">
        <f>D10+E10+F10</f>
        <v/>
      </c>
      <c r="H10" s="19">
        <f>IFERROR(AVERAGEIFS(PRODUCCION!$F:$F,PRODUCCION!$B:$B,B10,PRODUCCION!$C:$C,C10),0)</f>
        <v/>
      </c>
      <c r="I10" s="19">
        <f>H10-G10</f>
        <v/>
      </c>
      <c r="J10" s="26">
        <f>IF(H10&gt;0,I10/H10,0)</f>
        <v/>
      </c>
      <c r="K10" s="20">
        <f>SUMIFS(PRODUCCION!$E:$E,PRODUCCION!$B:$B,B10,PRODUCCION!$C:$C,C10)</f>
        <v/>
      </c>
    </row>
    <row r="11">
      <c r="A11" t="inlineStr">
        <is>
          <t>SV00</t>
        </is>
      </c>
      <c r="B11" t="inlineStr">
        <is>
          <t>Holter 24 Horas</t>
        </is>
      </c>
      <c r="C11" t="inlineStr">
        <is>
          <t>Sede Norte - Bogotá</t>
        </is>
      </c>
      <c r="D11" s="19">
        <f>SUMIFS(ECUACIONES_TIEMPO!$D:$D,ECUACIONES_TIEMPO!$B:$B,B11)*2200</f>
        <v/>
      </c>
      <c r="E11" s="19">
        <f>SUMIFS(INSUMOS!$F:$F,INSUMOS!$B:$B,B11)</f>
        <v/>
      </c>
      <c r="F11" s="19">
        <f>SUMIFS(ECUACIONES_TIEMPO!$D:$D,ECUACIONES_TIEMPO!$B:$B,B11)*4055.96</f>
        <v/>
      </c>
      <c r="G11" s="19">
        <f>D11+E11+F11</f>
        <v/>
      </c>
      <c r="H11" s="19">
        <f>IFERROR(AVERAGEIFS(PRODUCCION!$F:$F,PRODUCCION!$B:$B,B11,PRODUCCION!$C:$C,C11),0)</f>
        <v/>
      </c>
      <c r="I11" s="19">
        <f>H11-G11</f>
        <v/>
      </c>
      <c r="J11" s="26">
        <f>IF(H11&gt;0,I11/H11,0)</f>
        <v/>
      </c>
      <c r="K11" s="20">
        <f>SUMIFS(PRODUCCION!$E:$E,PRODUCCION!$B:$B,B11,PRODUCCION!$C:$C,C11)</f>
        <v/>
      </c>
    </row>
    <row r="12">
      <c r="A12" t="inlineStr">
        <is>
          <t>SV00</t>
        </is>
      </c>
      <c r="B12" t="inlineStr">
        <is>
          <t>Holter 24 Horas</t>
        </is>
      </c>
      <c r="C12" t="inlineStr">
        <is>
          <t>Sede Sur - Medellín</t>
        </is>
      </c>
      <c r="D12" s="19">
        <f>SUMIFS(ECUACIONES_TIEMPO!$D:$D,ECUACIONES_TIEMPO!$B:$B,B12)*2200</f>
        <v/>
      </c>
      <c r="E12" s="19">
        <f>SUMIFS(INSUMOS!$F:$F,INSUMOS!$B:$B,B12)</f>
        <v/>
      </c>
      <c r="F12" s="19">
        <f>SUMIFS(ECUACIONES_TIEMPO!$D:$D,ECUACIONES_TIEMPO!$B:$B,B12)*4055.96</f>
        <v/>
      </c>
      <c r="G12" s="19">
        <f>D12+E12+F12</f>
        <v/>
      </c>
      <c r="H12" s="19">
        <f>IFERROR(AVERAGEIFS(PRODUCCION!$F:$F,PRODUCCION!$B:$B,B12,PRODUCCION!$C:$C,C12),0)</f>
        <v/>
      </c>
      <c r="I12" s="19">
        <f>H12-G12</f>
        <v/>
      </c>
      <c r="J12" s="26">
        <f>IF(H12&gt;0,I12/H12,0)</f>
        <v/>
      </c>
      <c r="K12" s="20">
        <f>SUMIFS(PRODUCCION!$E:$E,PRODUCCION!$B:$B,B12,PRODUCCION!$C:$C,C12)</f>
        <v/>
      </c>
    </row>
    <row r="13">
      <c r="A13" t="inlineStr">
        <is>
          <t>SV00</t>
        </is>
      </c>
      <c r="B13" t="inlineStr">
        <is>
          <t>Holter 24 Horas</t>
        </is>
      </c>
      <c r="C13" t="inlineStr">
        <is>
          <t>Sede Centro - Cali</t>
        </is>
      </c>
      <c r="D13" s="19">
        <f>SUMIFS(ECUACIONES_TIEMPO!$D:$D,ECUACIONES_TIEMPO!$B:$B,B13)*2200</f>
        <v/>
      </c>
      <c r="E13" s="19">
        <f>SUMIFS(INSUMOS!$F:$F,INSUMOS!$B:$B,B13)</f>
        <v/>
      </c>
      <c r="F13" s="19">
        <f>SUMIFS(ECUACIONES_TIEMPO!$D:$D,ECUACIONES_TIEMPO!$B:$B,B13)*4055.96</f>
        <v/>
      </c>
      <c r="G13" s="19">
        <f>D13+E13+F13</f>
        <v/>
      </c>
      <c r="H13" s="19">
        <f>IFERROR(AVERAGEIFS(PRODUCCION!$F:$F,PRODUCCION!$B:$B,B13,PRODUCCION!$C:$C,C13),0)</f>
        <v/>
      </c>
      <c r="I13" s="19">
        <f>H13-G13</f>
        <v/>
      </c>
      <c r="J13" s="26">
        <f>IF(H13&gt;0,I13/H13,0)</f>
        <v/>
      </c>
      <c r="K13" s="20">
        <f>SUMIFS(PRODUCCION!$E:$E,PRODUCCION!$B:$B,B13,PRODUCCION!$C:$C,C13)</f>
        <v/>
      </c>
    </row>
    <row r="14">
      <c r="A14" t="inlineStr">
        <is>
          <t>SV00</t>
        </is>
      </c>
      <c r="B14" t="inlineStr">
        <is>
          <t>Holter 48 Horas</t>
        </is>
      </c>
      <c r="C14" t="inlineStr">
        <is>
          <t>Sede Norte - Bogotá</t>
        </is>
      </c>
      <c r="D14" s="19">
        <f>SUMIFS(ECUACIONES_TIEMPO!$D:$D,ECUACIONES_TIEMPO!$B:$B,B14)*2200</f>
        <v/>
      </c>
      <c r="E14" s="19">
        <f>SUMIFS(INSUMOS!$F:$F,INSUMOS!$B:$B,B14)</f>
        <v/>
      </c>
      <c r="F14" s="19">
        <f>SUMIFS(ECUACIONES_TIEMPO!$D:$D,ECUACIONES_TIEMPO!$B:$B,B14)*4055.96</f>
        <v/>
      </c>
      <c r="G14" s="19">
        <f>D14+E14+F14</f>
        <v/>
      </c>
      <c r="H14" s="19">
        <f>IFERROR(AVERAGEIFS(PRODUCCION!$F:$F,PRODUCCION!$B:$B,B14,PRODUCCION!$C:$C,C14),0)</f>
        <v/>
      </c>
      <c r="I14" s="19">
        <f>H14-G14</f>
        <v/>
      </c>
      <c r="J14" s="26">
        <f>IF(H14&gt;0,I14/H14,0)</f>
        <v/>
      </c>
      <c r="K14" s="20">
        <f>SUMIFS(PRODUCCION!$E:$E,PRODUCCION!$B:$B,B14,PRODUCCION!$C:$C,C14)</f>
        <v/>
      </c>
    </row>
    <row r="15">
      <c r="A15" t="inlineStr">
        <is>
          <t>SV00</t>
        </is>
      </c>
      <c r="B15" t="inlineStr">
        <is>
          <t>Holter 48 Horas</t>
        </is>
      </c>
      <c r="C15" t="inlineStr">
        <is>
          <t>Sede Sur - Medellín</t>
        </is>
      </c>
      <c r="D15" s="19">
        <f>SUMIFS(ECUACIONES_TIEMPO!$D:$D,ECUACIONES_TIEMPO!$B:$B,B15)*2200</f>
        <v/>
      </c>
      <c r="E15" s="19">
        <f>SUMIFS(INSUMOS!$F:$F,INSUMOS!$B:$B,B15)</f>
        <v/>
      </c>
      <c r="F15" s="19">
        <f>SUMIFS(ECUACIONES_TIEMPO!$D:$D,ECUACIONES_TIEMPO!$B:$B,B15)*4055.96</f>
        <v/>
      </c>
      <c r="G15" s="19">
        <f>D15+E15+F15</f>
        <v/>
      </c>
      <c r="H15" s="19">
        <f>IFERROR(AVERAGEIFS(PRODUCCION!$F:$F,PRODUCCION!$B:$B,B15,PRODUCCION!$C:$C,C15),0)</f>
        <v/>
      </c>
      <c r="I15" s="19">
        <f>H15-G15</f>
        <v/>
      </c>
      <c r="J15" s="26">
        <f>IF(H15&gt;0,I15/H15,0)</f>
        <v/>
      </c>
      <c r="K15" s="20">
        <f>SUMIFS(PRODUCCION!$E:$E,PRODUCCION!$B:$B,B15,PRODUCCION!$C:$C,C15)</f>
        <v/>
      </c>
    </row>
    <row r="16">
      <c r="A16" t="inlineStr">
        <is>
          <t>SV00</t>
        </is>
      </c>
      <c r="B16" t="inlineStr">
        <is>
          <t>Holter 48 Horas</t>
        </is>
      </c>
      <c r="C16" t="inlineStr">
        <is>
          <t>Sede Centro - Cali</t>
        </is>
      </c>
      <c r="D16" s="19">
        <f>SUMIFS(ECUACIONES_TIEMPO!$D:$D,ECUACIONES_TIEMPO!$B:$B,B16)*2200</f>
        <v/>
      </c>
      <c r="E16" s="19">
        <f>SUMIFS(INSUMOS!$F:$F,INSUMOS!$B:$B,B16)</f>
        <v/>
      </c>
      <c r="F16" s="19">
        <f>SUMIFS(ECUACIONES_TIEMPO!$D:$D,ECUACIONES_TIEMPO!$B:$B,B16)*4055.96</f>
        <v/>
      </c>
      <c r="G16" s="19">
        <f>D16+E16+F16</f>
        <v/>
      </c>
      <c r="H16" s="19">
        <f>IFERROR(AVERAGEIFS(PRODUCCION!$F:$F,PRODUCCION!$B:$B,B16,PRODUCCION!$C:$C,C16),0)</f>
        <v/>
      </c>
      <c r="I16" s="19">
        <f>H16-G16</f>
        <v/>
      </c>
      <c r="J16" s="26">
        <f>IF(H16&gt;0,I16/H16,0)</f>
        <v/>
      </c>
      <c r="K16" s="20">
        <f>SUMIFS(PRODUCCION!$E:$E,PRODUCCION!$B:$B,B16,PRODUCCION!$C:$C,C16)</f>
        <v/>
      </c>
    </row>
    <row r="17">
      <c r="A17" t="inlineStr">
        <is>
          <t>SV00</t>
        </is>
      </c>
      <c r="B17" t="inlineStr">
        <is>
          <t>Prueba de Esfuerzo</t>
        </is>
      </c>
      <c r="C17" t="inlineStr">
        <is>
          <t>Sede Norte - Bogotá</t>
        </is>
      </c>
      <c r="D17" s="19">
        <f>SUMIFS(ECUACIONES_TIEMPO!$D:$D,ECUACIONES_TIEMPO!$B:$B,B17)*2200</f>
        <v/>
      </c>
      <c r="E17" s="19">
        <f>SUMIFS(INSUMOS!$F:$F,INSUMOS!$B:$B,B17)</f>
        <v/>
      </c>
      <c r="F17" s="19">
        <f>SUMIFS(ECUACIONES_TIEMPO!$D:$D,ECUACIONES_TIEMPO!$B:$B,B17)*4055.96</f>
        <v/>
      </c>
      <c r="G17" s="19">
        <f>D17+E17+F17</f>
        <v/>
      </c>
      <c r="H17" s="19">
        <f>IFERROR(AVERAGEIFS(PRODUCCION!$F:$F,PRODUCCION!$B:$B,B17,PRODUCCION!$C:$C,C17),0)</f>
        <v/>
      </c>
      <c r="I17" s="19">
        <f>H17-G17</f>
        <v/>
      </c>
      <c r="J17" s="26">
        <f>IF(H17&gt;0,I17/H17,0)</f>
        <v/>
      </c>
      <c r="K17" s="20">
        <f>SUMIFS(PRODUCCION!$E:$E,PRODUCCION!$B:$B,B17,PRODUCCION!$C:$C,C17)</f>
        <v/>
      </c>
    </row>
    <row r="18">
      <c r="A18" t="inlineStr">
        <is>
          <t>SV00</t>
        </is>
      </c>
      <c r="B18" t="inlineStr">
        <is>
          <t>Prueba de Esfuerzo</t>
        </is>
      </c>
      <c r="C18" t="inlineStr">
        <is>
          <t>Sede Sur - Medellín</t>
        </is>
      </c>
      <c r="D18" s="19">
        <f>SUMIFS(ECUACIONES_TIEMPO!$D:$D,ECUACIONES_TIEMPO!$B:$B,B18)*2200</f>
        <v/>
      </c>
      <c r="E18" s="19">
        <f>SUMIFS(INSUMOS!$F:$F,INSUMOS!$B:$B,B18)</f>
        <v/>
      </c>
      <c r="F18" s="19">
        <f>SUMIFS(ECUACIONES_TIEMPO!$D:$D,ECUACIONES_TIEMPO!$B:$B,B18)*4055.96</f>
        <v/>
      </c>
      <c r="G18" s="19">
        <f>D18+E18+F18</f>
        <v/>
      </c>
      <c r="H18" s="19">
        <f>IFERROR(AVERAGEIFS(PRODUCCION!$F:$F,PRODUCCION!$B:$B,B18,PRODUCCION!$C:$C,C18),0)</f>
        <v/>
      </c>
      <c r="I18" s="19">
        <f>H18-G18</f>
        <v/>
      </c>
      <c r="J18" s="26">
        <f>IF(H18&gt;0,I18/H18,0)</f>
        <v/>
      </c>
      <c r="K18" s="20">
        <f>SUMIFS(PRODUCCION!$E:$E,PRODUCCION!$B:$B,B18,PRODUCCION!$C:$C,C18)</f>
        <v/>
      </c>
    </row>
    <row r="19">
      <c r="A19" t="inlineStr">
        <is>
          <t>SV00</t>
        </is>
      </c>
      <c r="B19" t="inlineStr">
        <is>
          <t>Prueba de Esfuerzo</t>
        </is>
      </c>
      <c r="C19" t="inlineStr">
        <is>
          <t>Sede Centro - Cali</t>
        </is>
      </c>
      <c r="D19" s="19">
        <f>SUMIFS(ECUACIONES_TIEMPO!$D:$D,ECUACIONES_TIEMPO!$B:$B,B19)*2200</f>
        <v/>
      </c>
      <c r="E19" s="19">
        <f>SUMIFS(INSUMOS!$F:$F,INSUMOS!$B:$B,B19)</f>
        <v/>
      </c>
      <c r="F19" s="19">
        <f>SUMIFS(ECUACIONES_TIEMPO!$D:$D,ECUACIONES_TIEMPO!$B:$B,B19)*4055.96</f>
        <v/>
      </c>
      <c r="G19" s="19">
        <f>D19+E19+F19</f>
        <v/>
      </c>
      <c r="H19" s="19">
        <f>IFERROR(AVERAGEIFS(PRODUCCION!$F:$F,PRODUCCION!$B:$B,B19,PRODUCCION!$C:$C,C19),0)</f>
        <v/>
      </c>
      <c r="I19" s="19">
        <f>H19-G19</f>
        <v/>
      </c>
      <c r="J19" s="26">
        <f>IF(H19&gt;0,I19/H19,0)</f>
        <v/>
      </c>
      <c r="K19" s="20">
        <f>SUMIFS(PRODUCCION!$E:$E,PRODUCCION!$B:$B,B19,PRODUCCION!$C:$C,C19)</f>
        <v/>
      </c>
    </row>
    <row r="20">
      <c r="A20" t="inlineStr">
        <is>
          <t>SV00</t>
        </is>
      </c>
      <c r="B20" t="inlineStr">
        <is>
          <t>Electrocardiograma</t>
        </is>
      </c>
      <c r="C20" t="inlineStr">
        <is>
          <t>Sede Norte - Bogotá</t>
        </is>
      </c>
      <c r="D20" s="19">
        <f>SUMIFS(ECUACIONES_TIEMPO!$D:$D,ECUACIONES_TIEMPO!$B:$B,B20)*2200</f>
        <v/>
      </c>
      <c r="E20" s="19">
        <f>SUMIFS(INSUMOS!$F:$F,INSUMOS!$B:$B,B20)</f>
        <v/>
      </c>
      <c r="F20" s="19">
        <f>SUMIFS(ECUACIONES_TIEMPO!$D:$D,ECUACIONES_TIEMPO!$B:$B,B20)*4055.96</f>
        <v/>
      </c>
      <c r="G20" s="19">
        <f>D20+E20+F20</f>
        <v/>
      </c>
      <c r="H20" s="19">
        <f>IFERROR(AVERAGEIFS(PRODUCCION!$F:$F,PRODUCCION!$B:$B,B20,PRODUCCION!$C:$C,C20),0)</f>
        <v/>
      </c>
      <c r="I20" s="19">
        <f>H20-G20</f>
        <v/>
      </c>
      <c r="J20" s="26">
        <f>IF(H20&gt;0,I20/H20,0)</f>
        <v/>
      </c>
      <c r="K20" s="20">
        <f>SUMIFS(PRODUCCION!$E:$E,PRODUCCION!$B:$B,B20,PRODUCCION!$C:$C,C20)</f>
        <v/>
      </c>
    </row>
    <row r="21">
      <c r="A21" t="inlineStr">
        <is>
          <t>SV00</t>
        </is>
      </c>
      <c r="B21" t="inlineStr">
        <is>
          <t>Electrocardiograma</t>
        </is>
      </c>
      <c r="C21" t="inlineStr">
        <is>
          <t>Sede Sur - Medellín</t>
        </is>
      </c>
      <c r="D21" s="19">
        <f>SUMIFS(ECUACIONES_TIEMPO!$D:$D,ECUACIONES_TIEMPO!$B:$B,B21)*2200</f>
        <v/>
      </c>
      <c r="E21" s="19">
        <f>SUMIFS(INSUMOS!$F:$F,INSUMOS!$B:$B,B21)</f>
        <v/>
      </c>
      <c r="F21" s="19">
        <f>SUMIFS(ECUACIONES_TIEMPO!$D:$D,ECUACIONES_TIEMPO!$B:$B,B21)*4055.96</f>
        <v/>
      </c>
      <c r="G21" s="19">
        <f>D21+E21+F21</f>
        <v/>
      </c>
      <c r="H21" s="19">
        <f>IFERROR(AVERAGEIFS(PRODUCCION!$F:$F,PRODUCCION!$B:$B,B21,PRODUCCION!$C:$C,C21),0)</f>
        <v/>
      </c>
      <c r="I21" s="19">
        <f>H21-G21</f>
        <v/>
      </c>
      <c r="J21" s="26">
        <f>IF(H21&gt;0,I21/H21,0)</f>
        <v/>
      </c>
      <c r="K21" s="20">
        <f>SUMIFS(PRODUCCION!$E:$E,PRODUCCION!$B:$B,B21,PRODUCCION!$C:$C,C21)</f>
        <v/>
      </c>
    </row>
    <row r="22">
      <c r="A22" t="inlineStr">
        <is>
          <t>SV00</t>
        </is>
      </c>
      <c r="B22" t="inlineStr">
        <is>
          <t>Electrocardiograma</t>
        </is>
      </c>
      <c r="C22" t="inlineStr">
        <is>
          <t>Sede Centro - Cali</t>
        </is>
      </c>
      <c r="D22" s="19">
        <f>SUMIFS(ECUACIONES_TIEMPO!$D:$D,ECUACIONES_TIEMPO!$B:$B,B22)*2200</f>
        <v/>
      </c>
      <c r="E22" s="19">
        <f>SUMIFS(INSUMOS!$F:$F,INSUMOS!$B:$B,B22)</f>
        <v/>
      </c>
      <c r="F22" s="19">
        <f>SUMIFS(ECUACIONES_TIEMPO!$D:$D,ECUACIONES_TIEMPO!$B:$B,B22)*4055.96</f>
        <v/>
      </c>
      <c r="G22" s="19">
        <f>D22+E22+F22</f>
        <v/>
      </c>
      <c r="H22" s="19">
        <f>IFERROR(AVERAGEIFS(PRODUCCION!$F:$F,PRODUCCION!$B:$B,B22,PRODUCCION!$C:$C,C22),0)</f>
        <v/>
      </c>
      <c r="I22" s="19">
        <f>H22-G22</f>
        <v/>
      </c>
      <c r="J22" s="26">
        <f>IF(H22&gt;0,I22/H22,0)</f>
        <v/>
      </c>
      <c r="K22" s="20">
        <f>SUMIFS(PRODUCCION!$E:$E,PRODUCCION!$B:$B,B22,PRODUCCION!$C:$C,C22)</f>
        <v/>
      </c>
    </row>
    <row r="23">
      <c r="A23" t="inlineStr">
        <is>
          <t>SV00</t>
        </is>
      </c>
      <c r="B23" t="inlineStr">
        <is>
          <t>MAPA 24 Horas</t>
        </is>
      </c>
      <c r="C23" t="inlineStr">
        <is>
          <t>Sede Norte - Bogotá</t>
        </is>
      </c>
      <c r="D23" s="19">
        <f>SUMIFS(ECUACIONES_TIEMPO!$D:$D,ECUACIONES_TIEMPO!$B:$B,B23)*2200</f>
        <v/>
      </c>
      <c r="E23" s="19">
        <f>SUMIFS(INSUMOS!$F:$F,INSUMOS!$B:$B,B23)</f>
        <v/>
      </c>
      <c r="F23" s="19">
        <f>SUMIFS(ECUACIONES_TIEMPO!$D:$D,ECUACIONES_TIEMPO!$B:$B,B23)*4055.96</f>
        <v/>
      </c>
      <c r="G23" s="19">
        <f>D23+E23+F23</f>
        <v/>
      </c>
      <c r="H23" s="19">
        <f>IFERROR(AVERAGEIFS(PRODUCCION!$F:$F,PRODUCCION!$B:$B,B23,PRODUCCION!$C:$C,C23),0)</f>
        <v/>
      </c>
      <c r="I23" s="19">
        <f>H23-G23</f>
        <v/>
      </c>
      <c r="J23" s="26">
        <f>IF(H23&gt;0,I23/H23,0)</f>
        <v/>
      </c>
      <c r="K23" s="20">
        <f>SUMIFS(PRODUCCION!$E:$E,PRODUCCION!$B:$B,B23,PRODUCCION!$C:$C,C23)</f>
        <v/>
      </c>
    </row>
    <row r="24">
      <c r="A24" t="inlineStr">
        <is>
          <t>SV00</t>
        </is>
      </c>
      <c r="B24" t="inlineStr">
        <is>
          <t>MAPA 24 Horas</t>
        </is>
      </c>
      <c r="C24" t="inlineStr">
        <is>
          <t>Sede Sur - Medellín</t>
        </is>
      </c>
      <c r="D24" s="19">
        <f>SUMIFS(ECUACIONES_TIEMPO!$D:$D,ECUACIONES_TIEMPO!$B:$B,B24)*2200</f>
        <v/>
      </c>
      <c r="E24" s="19">
        <f>SUMIFS(INSUMOS!$F:$F,INSUMOS!$B:$B,B24)</f>
        <v/>
      </c>
      <c r="F24" s="19">
        <f>SUMIFS(ECUACIONES_TIEMPO!$D:$D,ECUACIONES_TIEMPO!$B:$B,B24)*4055.96</f>
        <v/>
      </c>
      <c r="G24" s="19">
        <f>D24+E24+F24</f>
        <v/>
      </c>
      <c r="H24" s="19">
        <f>IFERROR(AVERAGEIFS(PRODUCCION!$F:$F,PRODUCCION!$B:$B,B24,PRODUCCION!$C:$C,C24),0)</f>
        <v/>
      </c>
      <c r="I24" s="19">
        <f>H24-G24</f>
        <v/>
      </c>
      <c r="J24" s="26">
        <f>IF(H24&gt;0,I24/H24,0)</f>
        <v/>
      </c>
      <c r="K24" s="20">
        <f>SUMIFS(PRODUCCION!$E:$E,PRODUCCION!$B:$B,B24,PRODUCCION!$C:$C,C24)</f>
        <v/>
      </c>
    </row>
    <row r="25">
      <c r="A25" t="inlineStr">
        <is>
          <t>SV00</t>
        </is>
      </c>
      <c r="B25" t="inlineStr">
        <is>
          <t>MAPA 24 Horas</t>
        </is>
      </c>
      <c r="C25" t="inlineStr">
        <is>
          <t>Sede Centro - Cali</t>
        </is>
      </c>
      <c r="D25" s="19">
        <f>SUMIFS(ECUACIONES_TIEMPO!$D:$D,ECUACIONES_TIEMPO!$B:$B,B25)*2200</f>
        <v/>
      </c>
      <c r="E25" s="19">
        <f>SUMIFS(INSUMOS!$F:$F,INSUMOS!$B:$B,B25)</f>
        <v/>
      </c>
      <c r="F25" s="19">
        <f>SUMIFS(ECUACIONES_TIEMPO!$D:$D,ECUACIONES_TIEMPO!$B:$B,B25)*4055.96</f>
        <v/>
      </c>
      <c r="G25" s="19">
        <f>D25+E25+F25</f>
        <v/>
      </c>
      <c r="H25" s="19">
        <f>IFERROR(AVERAGEIFS(PRODUCCION!$F:$F,PRODUCCION!$B:$B,B25,PRODUCCION!$C:$C,C25),0)</f>
        <v/>
      </c>
      <c r="I25" s="19">
        <f>H25-G25</f>
        <v/>
      </c>
      <c r="J25" s="26">
        <f>IF(H25&gt;0,I25/H25,0)</f>
        <v/>
      </c>
      <c r="K25" s="20">
        <f>SUMIFS(PRODUCCION!$E:$E,PRODUCCION!$B:$B,B25,PRODUCCION!$C:$C,C25)</f>
        <v/>
      </c>
    </row>
    <row r="26">
      <c r="A26" t="inlineStr">
        <is>
          <t>SV00</t>
        </is>
      </c>
      <c r="B26" t="inlineStr">
        <is>
          <t>Ecocardiograma Doppler</t>
        </is>
      </c>
      <c r="C26" t="inlineStr">
        <is>
          <t>Sede Norte - Bogotá</t>
        </is>
      </c>
      <c r="D26" s="19">
        <f>SUMIFS(ECUACIONES_TIEMPO!$D:$D,ECUACIONES_TIEMPO!$B:$B,B26)*2200</f>
        <v/>
      </c>
      <c r="E26" s="19">
        <f>SUMIFS(INSUMOS!$F:$F,INSUMOS!$B:$B,B26)</f>
        <v/>
      </c>
      <c r="F26" s="19">
        <f>SUMIFS(ECUACIONES_TIEMPO!$D:$D,ECUACIONES_TIEMPO!$B:$B,B26)*4055.96</f>
        <v/>
      </c>
      <c r="G26" s="19">
        <f>D26+E26+F26</f>
        <v/>
      </c>
      <c r="H26" s="19">
        <f>IFERROR(AVERAGEIFS(PRODUCCION!$F:$F,PRODUCCION!$B:$B,B26,PRODUCCION!$C:$C,C26),0)</f>
        <v/>
      </c>
      <c r="I26" s="19">
        <f>H26-G26</f>
        <v/>
      </c>
      <c r="J26" s="26">
        <f>IF(H26&gt;0,I26/H26,0)</f>
        <v/>
      </c>
      <c r="K26" s="20">
        <f>SUMIFS(PRODUCCION!$E:$E,PRODUCCION!$B:$B,B26,PRODUCCION!$C:$C,C26)</f>
        <v/>
      </c>
    </row>
    <row r="27">
      <c r="A27" t="inlineStr">
        <is>
          <t>SV00</t>
        </is>
      </c>
      <c r="B27" t="inlineStr">
        <is>
          <t>Ecocardiograma Doppler</t>
        </is>
      </c>
      <c r="C27" t="inlineStr">
        <is>
          <t>Sede Sur - Medellín</t>
        </is>
      </c>
      <c r="D27" s="19">
        <f>SUMIFS(ECUACIONES_TIEMPO!$D:$D,ECUACIONES_TIEMPO!$B:$B,B27)*2200</f>
        <v/>
      </c>
      <c r="E27" s="19">
        <f>SUMIFS(INSUMOS!$F:$F,INSUMOS!$B:$B,B27)</f>
        <v/>
      </c>
      <c r="F27" s="19">
        <f>SUMIFS(ECUACIONES_TIEMPO!$D:$D,ECUACIONES_TIEMPO!$B:$B,B27)*4055.96</f>
        <v/>
      </c>
      <c r="G27" s="19">
        <f>D27+E27+F27</f>
        <v/>
      </c>
      <c r="H27" s="19">
        <f>IFERROR(AVERAGEIFS(PRODUCCION!$F:$F,PRODUCCION!$B:$B,B27,PRODUCCION!$C:$C,C27),0)</f>
        <v/>
      </c>
      <c r="I27" s="19">
        <f>H27-G27</f>
        <v/>
      </c>
      <c r="J27" s="26">
        <f>IF(H27&gt;0,I27/H27,0)</f>
        <v/>
      </c>
      <c r="K27" s="20">
        <f>SUMIFS(PRODUCCION!$E:$E,PRODUCCION!$B:$B,B27,PRODUCCION!$C:$C,C27)</f>
        <v/>
      </c>
    </row>
    <row r="28">
      <c r="A28" t="inlineStr">
        <is>
          <t>SV00</t>
        </is>
      </c>
      <c r="B28" t="inlineStr">
        <is>
          <t>Ecocardiograma Doppler</t>
        </is>
      </c>
      <c r="C28" t="inlineStr">
        <is>
          <t>Sede Centro - Cali</t>
        </is>
      </c>
      <c r="D28" s="19">
        <f>SUMIFS(ECUACIONES_TIEMPO!$D:$D,ECUACIONES_TIEMPO!$B:$B,B28)*2200</f>
        <v/>
      </c>
      <c r="E28" s="19">
        <f>SUMIFS(INSUMOS!$F:$F,INSUMOS!$B:$B,B28)</f>
        <v/>
      </c>
      <c r="F28" s="19">
        <f>SUMIFS(ECUACIONES_TIEMPO!$D:$D,ECUACIONES_TIEMPO!$B:$B,B28)*4055.96</f>
        <v/>
      </c>
      <c r="G28" s="19">
        <f>D28+E28+F28</f>
        <v/>
      </c>
      <c r="H28" s="19">
        <f>IFERROR(AVERAGEIFS(PRODUCCION!$F:$F,PRODUCCION!$B:$B,B28,PRODUCCION!$C:$C,C28),0)</f>
        <v/>
      </c>
      <c r="I28" s="19">
        <f>H28-G28</f>
        <v/>
      </c>
      <c r="J28" s="26">
        <f>IF(H28&gt;0,I28/H28,0)</f>
        <v/>
      </c>
      <c r="K28" s="20">
        <f>SUMIFS(PRODUCCION!$E:$E,PRODUCCION!$B:$B,B28,PRODUCCION!$C:$C,C28)</f>
        <v/>
      </c>
    </row>
    <row r="29">
      <c r="A29" t="inlineStr">
        <is>
          <t>SV00</t>
        </is>
      </c>
      <c r="B29" t="inlineStr">
        <is>
          <t>Ecocardiograma de Estrés</t>
        </is>
      </c>
      <c r="C29" t="inlineStr">
        <is>
          <t>Sede Norte - Bogotá</t>
        </is>
      </c>
      <c r="D29" s="19">
        <f>SUMIFS(ECUACIONES_TIEMPO!$D:$D,ECUACIONES_TIEMPO!$B:$B,B29)*2200</f>
        <v/>
      </c>
      <c r="E29" s="19">
        <f>SUMIFS(INSUMOS!$F:$F,INSUMOS!$B:$B,B29)</f>
        <v/>
      </c>
      <c r="F29" s="19">
        <f>SUMIFS(ECUACIONES_TIEMPO!$D:$D,ECUACIONES_TIEMPO!$B:$B,B29)*4055.96</f>
        <v/>
      </c>
      <c r="G29" s="19">
        <f>D29+E29+F29</f>
        <v/>
      </c>
      <c r="H29" s="19">
        <f>IFERROR(AVERAGEIFS(PRODUCCION!$F:$F,PRODUCCION!$B:$B,B29,PRODUCCION!$C:$C,C29),0)</f>
        <v/>
      </c>
      <c r="I29" s="19">
        <f>H29-G29</f>
        <v/>
      </c>
      <c r="J29" s="26">
        <f>IF(H29&gt;0,I29/H29,0)</f>
        <v/>
      </c>
      <c r="K29" s="20">
        <f>SUMIFS(PRODUCCION!$E:$E,PRODUCCION!$B:$B,B29,PRODUCCION!$C:$C,C29)</f>
        <v/>
      </c>
    </row>
    <row r="30">
      <c r="A30" t="inlineStr">
        <is>
          <t>SV00</t>
        </is>
      </c>
      <c r="B30" t="inlineStr">
        <is>
          <t>Ecocardiograma de Estrés</t>
        </is>
      </c>
      <c r="C30" t="inlineStr">
        <is>
          <t>Sede Sur - Medellín</t>
        </is>
      </c>
      <c r="D30" s="19">
        <f>SUMIFS(ECUACIONES_TIEMPO!$D:$D,ECUACIONES_TIEMPO!$B:$B,B30)*2200</f>
        <v/>
      </c>
      <c r="E30" s="19">
        <f>SUMIFS(INSUMOS!$F:$F,INSUMOS!$B:$B,B30)</f>
        <v/>
      </c>
      <c r="F30" s="19">
        <f>SUMIFS(ECUACIONES_TIEMPO!$D:$D,ECUACIONES_TIEMPO!$B:$B,B30)*4055.96</f>
        <v/>
      </c>
      <c r="G30" s="19">
        <f>D30+E30+F30</f>
        <v/>
      </c>
      <c r="H30" s="19">
        <f>IFERROR(AVERAGEIFS(PRODUCCION!$F:$F,PRODUCCION!$B:$B,B30,PRODUCCION!$C:$C,C30),0)</f>
        <v/>
      </c>
      <c r="I30" s="19">
        <f>H30-G30</f>
        <v/>
      </c>
      <c r="J30" s="26">
        <f>IF(H30&gt;0,I30/H30,0)</f>
        <v/>
      </c>
      <c r="K30" s="20">
        <f>SUMIFS(PRODUCCION!$E:$E,PRODUCCION!$B:$B,B30,PRODUCCION!$C:$C,C30)</f>
        <v/>
      </c>
    </row>
    <row r="31">
      <c r="A31" t="inlineStr">
        <is>
          <t>SV00</t>
        </is>
      </c>
      <c r="B31" t="inlineStr">
        <is>
          <t>Ecocardiograma de Estrés</t>
        </is>
      </c>
      <c r="C31" t="inlineStr">
        <is>
          <t>Sede Centro - Cali</t>
        </is>
      </c>
      <c r="D31" s="19">
        <f>SUMIFS(ECUACIONES_TIEMPO!$D:$D,ECUACIONES_TIEMPO!$B:$B,B31)*2200</f>
        <v/>
      </c>
      <c r="E31" s="19">
        <f>SUMIFS(INSUMOS!$F:$F,INSUMOS!$B:$B,B31)</f>
        <v/>
      </c>
      <c r="F31" s="19">
        <f>SUMIFS(ECUACIONES_TIEMPO!$D:$D,ECUACIONES_TIEMPO!$B:$B,B31)*4055.96</f>
        <v/>
      </c>
      <c r="G31" s="19">
        <f>D31+E31+F31</f>
        <v/>
      </c>
      <c r="H31" s="19">
        <f>IFERROR(AVERAGEIFS(PRODUCCION!$F:$F,PRODUCCION!$B:$B,B31,PRODUCCION!$C:$C,C31),0)</f>
        <v/>
      </c>
      <c r="I31" s="19">
        <f>H31-G31</f>
        <v/>
      </c>
      <c r="J31" s="26">
        <f>IF(H31&gt;0,I31/H31,0)</f>
        <v/>
      </c>
      <c r="K31" s="20">
        <f>SUMIFS(PRODUCCION!$E:$E,PRODUCCION!$B:$B,B31,PRODUCCION!$C:$C,C31)</f>
        <v/>
      </c>
    </row>
    <row r="32">
      <c r="A32" t="inlineStr">
        <is>
          <t>SV00</t>
        </is>
      </c>
      <c r="B32" t="inlineStr">
        <is>
          <t>Tilt Test</t>
        </is>
      </c>
      <c r="C32" t="inlineStr">
        <is>
          <t>Sede Norte - Bogotá</t>
        </is>
      </c>
      <c r="D32" s="19">
        <f>SUMIFS(ECUACIONES_TIEMPO!$D:$D,ECUACIONES_TIEMPO!$B:$B,B32)*2200</f>
        <v/>
      </c>
      <c r="E32" s="19">
        <f>SUMIFS(INSUMOS!$F:$F,INSUMOS!$B:$B,B32)</f>
        <v/>
      </c>
      <c r="F32" s="19">
        <f>SUMIFS(ECUACIONES_TIEMPO!$D:$D,ECUACIONES_TIEMPO!$B:$B,B32)*4055.96</f>
        <v/>
      </c>
      <c r="G32" s="19">
        <f>D32+E32+F32</f>
        <v/>
      </c>
      <c r="H32" s="19">
        <f>IFERROR(AVERAGEIFS(PRODUCCION!$F:$F,PRODUCCION!$B:$B,B32,PRODUCCION!$C:$C,C32),0)</f>
        <v/>
      </c>
      <c r="I32" s="19">
        <f>H32-G32</f>
        <v/>
      </c>
      <c r="J32" s="26">
        <f>IF(H32&gt;0,I32/H32,0)</f>
        <v/>
      </c>
      <c r="K32" s="20">
        <f>SUMIFS(PRODUCCION!$E:$E,PRODUCCION!$B:$B,B32,PRODUCCION!$C:$C,C32)</f>
        <v/>
      </c>
    </row>
    <row r="33">
      <c r="A33" t="inlineStr">
        <is>
          <t>SV00</t>
        </is>
      </c>
      <c r="B33" t="inlineStr">
        <is>
          <t>Tilt Test</t>
        </is>
      </c>
      <c r="C33" t="inlineStr">
        <is>
          <t>Sede Sur - Medellín</t>
        </is>
      </c>
      <c r="D33" s="19">
        <f>SUMIFS(ECUACIONES_TIEMPO!$D:$D,ECUACIONES_TIEMPO!$B:$B,B33)*2200</f>
        <v/>
      </c>
      <c r="E33" s="19">
        <f>SUMIFS(INSUMOS!$F:$F,INSUMOS!$B:$B,B33)</f>
        <v/>
      </c>
      <c r="F33" s="19">
        <f>SUMIFS(ECUACIONES_TIEMPO!$D:$D,ECUACIONES_TIEMPO!$B:$B,B33)*4055.96</f>
        <v/>
      </c>
      <c r="G33" s="19">
        <f>D33+E33+F33</f>
        <v/>
      </c>
      <c r="H33" s="19">
        <f>IFERROR(AVERAGEIFS(PRODUCCION!$F:$F,PRODUCCION!$B:$B,B33,PRODUCCION!$C:$C,C33),0)</f>
        <v/>
      </c>
      <c r="I33" s="19">
        <f>H33-G33</f>
        <v/>
      </c>
      <c r="J33" s="26">
        <f>IF(H33&gt;0,I33/H33,0)</f>
        <v/>
      </c>
      <c r="K33" s="20">
        <f>SUMIFS(PRODUCCION!$E:$E,PRODUCCION!$B:$B,B33,PRODUCCION!$C:$C,C33)</f>
        <v/>
      </c>
    </row>
    <row r="34">
      <c r="A34" t="inlineStr">
        <is>
          <t>SV00</t>
        </is>
      </c>
      <c r="B34" t="inlineStr">
        <is>
          <t>Tilt Test</t>
        </is>
      </c>
      <c r="C34" t="inlineStr">
        <is>
          <t>Sede Centro - Cali</t>
        </is>
      </c>
      <c r="D34" s="19">
        <f>SUMIFS(ECUACIONES_TIEMPO!$D:$D,ECUACIONES_TIEMPO!$B:$B,B34)*2200</f>
        <v/>
      </c>
      <c r="E34" s="19">
        <f>SUMIFS(INSUMOS!$F:$F,INSUMOS!$B:$B,B34)</f>
        <v/>
      </c>
      <c r="F34" s="19">
        <f>SUMIFS(ECUACIONES_TIEMPO!$D:$D,ECUACIONES_TIEMPO!$B:$B,B34)*4055.96</f>
        <v/>
      </c>
      <c r="G34" s="19">
        <f>D34+E34+F34</f>
        <v/>
      </c>
      <c r="H34" s="19">
        <f>IFERROR(AVERAGEIFS(PRODUCCION!$F:$F,PRODUCCION!$B:$B,B34,PRODUCCION!$C:$C,C34),0)</f>
        <v/>
      </c>
      <c r="I34" s="19">
        <f>H34-G34</f>
        <v/>
      </c>
      <c r="J34" s="26">
        <f>IF(H34&gt;0,I34/H34,0)</f>
        <v/>
      </c>
      <c r="K34" s="20">
        <f>SUMIFS(PRODUCCION!$E:$E,PRODUCCION!$B:$B,B34,PRODUCCION!$C:$C,C34)</f>
        <v/>
      </c>
    </row>
    <row r="35">
      <c r="A35" t="inlineStr">
        <is>
          <t>SV00</t>
        </is>
      </c>
      <c r="B35" t="inlineStr">
        <is>
          <t>Estudio Electrofisiológico</t>
        </is>
      </c>
      <c r="C35" t="inlineStr">
        <is>
          <t>Sede Norte - Bogotá</t>
        </is>
      </c>
      <c r="D35" s="19">
        <f>SUMIFS(ECUACIONES_TIEMPO!$D:$D,ECUACIONES_TIEMPO!$B:$B,B35)*2200</f>
        <v/>
      </c>
      <c r="E35" s="19">
        <f>SUMIFS(INSUMOS!$F:$F,INSUMOS!$B:$B,B35)</f>
        <v/>
      </c>
      <c r="F35" s="19">
        <f>SUMIFS(ECUACIONES_TIEMPO!$D:$D,ECUACIONES_TIEMPO!$B:$B,B35)*4055.96</f>
        <v/>
      </c>
      <c r="G35" s="19">
        <f>D35+E35+F35</f>
        <v/>
      </c>
      <c r="H35" s="19">
        <f>IFERROR(AVERAGEIFS(PRODUCCION!$F:$F,PRODUCCION!$B:$B,B35,PRODUCCION!$C:$C,C35),0)</f>
        <v/>
      </c>
      <c r="I35" s="19">
        <f>H35-G35</f>
        <v/>
      </c>
      <c r="J35" s="26">
        <f>IF(H35&gt;0,I35/H35,0)</f>
        <v/>
      </c>
      <c r="K35" s="20">
        <f>SUMIFS(PRODUCCION!$E:$E,PRODUCCION!$B:$B,B35,PRODUCCION!$C:$C,C35)</f>
        <v/>
      </c>
    </row>
    <row r="36">
      <c r="A36" t="inlineStr">
        <is>
          <t>SV00</t>
        </is>
      </c>
      <c r="B36" t="inlineStr">
        <is>
          <t>Estudio Electrofisiológico</t>
        </is>
      </c>
      <c r="C36" t="inlineStr">
        <is>
          <t>Sede Sur - Medellín</t>
        </is>
      </c>
      <c r="D36" s="19">
        <f>SUMIFS(ECUACIONES_TIEMPO!$D:$D,ECUACIONES_TIEMPO!$B:$B,B36)*2200</f>
        <v/>
      </c>
      <c r="E36" s="19">
        <f>SUMIFS(INSUMOS!$F:$F,INSUMOS!$B:$B,B36)</f>
        <v/>
      </c>
      <c r="F36" s="19">
        <f>SUMIFS(ECUACIONES_TIEMPO!$D:$D,ECUACIONES_TIEMPO!$B:$B,B36)*4055.96</f>
        <v/>
      </c>
      <c r="G36" s="19">
        <f>D36+E36+F36</f>
        <v/>
      </c>
      <c r="H36" s="19">
        <f>IFERROR(AVERAGEIFS(PRODUCCION!$F:$F,PRODUCCION!$B:$B,B36,PRODUCCION!$C:$C,C36),0)</f>
        <v/>
      </c>
      <c r="I36" s="19">
        <f>H36-G36</f>
        <v/>
      </c>
      <c r="J36" s="26">
        <f>IF(H36&gt;0,I36/H36,0)</f>
        <v/>
      </c>
      <c r="K36" s="20">
        <f>SUMIFS(PRODUCCION!$E:$E,PRODUCCION!$B:$B,B36,PRODUCCION!$C:$C,C36)</f>
        <v/>
      </c>
    </row>
    <row r="37">
      <c r="A37" t="inlineStr">
        <is>
          <t>SV00</t>
        </is>
      </c>
      <c r="B37" t="inlineStr">
        <is>
          <t>Estudio Electrofisiológico</t>
        </is>
      </c>
      <c r="C37" t="inlineStr">
        <is>
          <t>Sede Centro - Cali</t>
        </is>
      </c>
      <c r="D37" s="19">
        <f>SUMIFS(ECUACIONES_TIEMPO!$D:$D,ECUACIONES_TIEMPO!$B:$B,B37)*2200</f>
        <v/>
      </c>
      <c r="E37" s="19">
        <f>SUMIFS(INSUMOS!$F:$F,INSUMOS!$B:$B,B37)</f>
        <v/>
      </c>
      <c r="F37" s="19">
        <f>SUMIFS(ECUACIONES_TIEMPO!$D:$D,ECUACIONES_TIEMPO!$B:$B,B37)*4055.96</f>
        <v/>
      </c>
      <c r="G37" s="19">
        <f>D37+E37+F37</f>
        <v/>
      </c>
      <c r="H37" s="19">
        <f>IFERROR(AVERAGEIFS(PRODUCCION!$F:$F,PRODUCCION!$B:$B,B37,PRODUCCION!$C:$C,C37),0)</f>
        <v/>
      </c>
      <c r="I37" s="19">
        <f>H37-G37</f>
        <v/>
      </c>
      <c r="J37" s="26">
        <f>IF(H37&gt;0,I37/H37,0)</f>
        <v/>
      </c>
      <c r="K37" s="20">
        <f>SUMIFS(PRODUCCION!$E:$E,PRODUCCION!$B:$B,B37,PRODUCCION!$C:$C,C37)</f>
        <v/>
      </c>
    </row>
    <row r="38">
      <c r="A38" t="inlineStr">
        <is>
          <t>SV00</t>
        </is>
      </c>
      <c r="B38" t="inlineStr">
        <is>
          <t>Cardioversión Eléctrica</t>
        </is>
      </c>
      <c r="C38" t="inlineStr">
        <is>
          <t>Sede Norte - Bogotá</t>
        </is>
      </c>
      <c r="D38" s="19">
        <f>SUMIFS(ECUACIONES_TIEMPO!$D:$D,ECUACIONES_TIEMPO!$B:$B,B38)*2200</f>
        <v/>
      </c>
      <c r="E38" s="19">
        <f>SUMIFS(INSUMOS!$F:$F,INSUMOS!$B:$B,B38)</f>
        <v/>
      </c>
      <c r="F38" s="19">
        <f>SUMIFS(ECUACIONES_TIEMPO!$D:$D,ECUACIONES_TIEMPO!$B:$B,B38)*4055.96</f>
        <v/>
      </c>
      <c r="G38" s="19">
        <f>D38+E38+F38</f>
        <v/>
      </c>
      <c r="H38" s="19">
        <f>IFERROR(AVERAGEIFS(PRODUCCION!$F:$F,PRODUCCION!$B:$B,B38,PRODUCCION!$C:$C,C38),0)</f>
        <v/>
      </c>
      <c r="I38" s="19">
        <f>H38-G38</f>
        <v/>
      </c>
      <c r="J38" s="26">
        <f>IF(H38&gt;0,I38/H38,0)</f>
        <v/>
      </c>
      <c r="K38" s="20">
        <f>SUMIFS(PRODUCCION!$E:$E,PRODUCCION!$B:$B,B38,PRODUCCION!$C:$C,C38)</f>
        <v/>
      </c>
    </row>
    <row r="39">
      <c r="A39" t="inlineStr">
        <is>
          <t>SV00</t>
        </is>
      </c>
      <c r="B39" t="inlineStr">
        <is>
          <t>Cardioversión Eléctrica</t>
        </is>
      </c>
      <c r="C39" t="inlineStr">
        <is>
          <t>Sede Sur - Medellín</t>
        </is>
      </c>
      <c r="D39" s="19">
        <f>SUMIFS(ECUACIONES_TIEMPO!$D:$D,ECUACIONES_TIEMPO!$B:$B,B39)*2200</f>
        <v/>
      </c>
      <c r="E39" s="19">
        <f>SUMIFS(INSUMOS!$F:$F,INSUMOS!$B:$B,B39)</f>
        <v/>
      </c>
      <c r="F39" s="19">
        <f>SUMIFS(ECUACIONES_TIEMPO!$D:$D,ECUACIONES_TIEMPO!$B:$B,B39)*4055.96</f>
        <v/>
      </c>
      <c r="G39" s="19">
        <f>D39+E39+F39</f>
        <v/>
      </c>
      <c r="H39" s="19">
        <f>IFERROR(AVERAGEIFS(PRODUCCION!$F:$F,PRODUCCION!$B:$B,B39,PRODUCCION!$C:$C,C39),0)</f>
        <v/>
      </c>
      <c r="I39" s="19">
        <f>H39-G39</f>
        <v/>
      </c>
      <c r="J39" s="26">
        <f>IF(H39&gt;0,I39/H39,0)</f>
        <v/>
      </c>
      <c r="K39" s="20">
        <f>SUMIFS(PRODUCCION!$E:$E,PRODUCCION!$B:$B,B39,PRODUCCION!$C:$C,C39)</f>
        <v/>
      </c>
    </row>
    <row r="40">
      <c r="A40" t="inlineStr">
        <is>
          <t>SV00</t>
        </is>
      </c>
      <c r="B40" t="inlineStr">
        <is>
          <t>Cardioversión Eléctrica</t>
        </is>
      </c>
      <c r="C40" t="inlineStr">
        <is>
          <t>Sede Centro - Cali</t>
        </is>
      </c>
      <c r="D40" s="19">
        <f>SUMIFS(ECUACIONES_TIEMPO!$D:$D,ECUACIONES_TIEMPO!$B:$B,B40)*2200</f>
        <v/>
      </c>
      <c r="E40" s="19">
        <f>SUMIFS(INSUMOS!$F:$F,INSUMOS!$B:$B,B40)</f>
        <v/>
      </c>
      <c r="F40" s="19">
        <f>SUMIFS(ECUACIONES_TIEMPO!$D:$D,ECUACIONES_TIEMPO!$B:$B,B40)*4055.96</f>
        <v/>
      </c>
      <c r="G40" s="19">
        <f>D40+E40+F40</f>
        <v/>
      </c>
      <c r="H40" s="19">
        <f>IFERROR(AVERAGEIFS(PRODUCCION!$F:$F,PRODUCCION!$B:$B,B40,PRODUCCION!$C:$C,C40),0)</f>
        <v/>
      </c>
      <c r="I40" s="19">
        <f>H40-G40</f>
        <v/>
      </c>
      <c r="J40" s="26">
        <f>IF(H40&gt;0,I40/H40,0)</f>
        <v/>
      </c>
      <c r="K40" s="20">
        <f>SUMIFS(PRODUCCION!$E:$E,PRODUCCION!$B:$B,B40,PRODUCCION!$C:$C,C40)</f>
        <v/>
      </c>
    </row>
    <row r="41">
      <c r="A41" t="inlineStr">
        <is>
          <t>SV00</t>
        </is>
      </c>
      <c r="B41" t="inlineStr">
        <is>
          <t>Implante Marcapasos</t>
        </is>
      </c>
      <c r="C41" t="inlineStr">
        <is>
          <t>Sede Norte - Bogotá</t>
        </is>
      </c>
      <c r="D41" s="19">
        <f>SUMIFS(ECUACIONES_TIEMPO!$D:$D,ECUACIONES_TIEMPO!$B:$B,B41)*2200</f>
        <v/>
      </c>
      <c r="E41" s="19">
        <f>SUMIFS(INSUMOS!$F:$F,INSUMOS!$B:$B,B41)</f>
        <v/>
      </c>
      <c r="F41" s="19">
        <f>SUMIFS(ECUACIONES_TIEMPO!$D:$D,ECUACIONES_TIEMPO!$B:$B,B41)*4055.96</f>
        <v/>
      </c>
      <c r="G41" s="19">
        <f>D41+E41+F41</f>
        <v/>
      </c>
      <c r="H41" s="19">
        <f>IFERROR(AVERAGEIFS(PRODUCCION!$F:$F,PRODUCCION!$B:$B,B41,PRODUCCION!$C:$C,C41),0)</f>
        <v/>
      </c>
      <c r="I41" s="19">
        <f>H41-G41</f>
        <v/>
      </c>
      <c r="J41" s="26">
        <f>IF(H41&gt;0,I41/H41,0)</f>
        <v/>
      </c>
      <c r="K41" s="20">
        <f>SUMIFS(PRODUCCION!$E:$E,PRODUCCION!$B:$B,B41,PRODUCCION!$C:$C,C41)</f>
        <v/>
      </c>
    </row>
    <row r="42">
      <c r="A42" t="inlineStr">
        <is>
          <t>SV00</t>
        </is>
      </c>
      <c r="B42" t="inlineStr">
        <is>
          <t>Implante Marcapasos</t>
        </is>
      </c>
      <c r="C42" t="inlineStr">
        <is>
          <t>Sede Sur - Medellín</t>
        </is>
      </c>
      <c r="D42" s="19">
        <f>SUMIFS(ECUACIONES_TIEMPO!$D:$D,ECUACIONES_TIEMPO!$B:$B,B42)*2200</f>
        <v/>
      </c>
      <c r="E42" s="19">
        <f>SUMIFS(INSUMOS!$F:$F,INSUMOS!$B:$B,B42)</f>
        <v/>
      </c>
      <c r="F42" s="19">
        <f>SUMIFS(ECUACIONES_TIEMPO!$D:$D,ECUACIONES_TIEMPO!$B:$B,B42)*4055.96</f>
        <v/>
      </c>
      <c r="G42" s="19">
        <f>D42+E42+F42</f>
        <v/>
      </c>
      <c r="H42" s="19">
        <f>IFERROR(AVERAGEIFS(PRODUCCION!$F:$F,PRODUCCION!$B:$B,B42,PRODUCCION!$C:$C,C42),0)</f>
        <v/>
      </c>
      <c r="I42" s="19">
        <f>H42-G42</f>
        <v/>
      </c>
      <c r="J42" s="26">
        <f>IF(H42&gt;0,I42/H42,0)</f>
        <v/>
      </c>
      <c r="K42" s="20">
        <f>SUMIFS(PRODUCCION!$E:$E,PRODUCCION!$B:$B,B42,PRODUCCION!$C:$C,C42)</f>
        <v/>
      </c>
    </row>
    <row r="43">
      <c r="A43" t="inlineStr">
        <is>
          <t>SV00</t>
        </is>
      </c>
      <c r="B43" t="inlineStr">
        <is>
          <t>Implante Marcapasos</t>
        </is>
      </c>
      <c r="C43" t="inlineStr">
        <is>
          <t>Sede Centro - Cali</t>
        </is>
      </c>
      <c r="D43" s="19">
        <f>SUMIFS(ECUACIONES_TIEMPO!$D:$D,ECUACIONES_TIEMPO!$B:$B,B43)*2200</f>
        <v/>
      </c>
      <c r="E43" s="19">
        <f>SUMIFS(INSUMOS!$F:$F,INSUMOS!$B:$B,B43)</f>
        <v/>
      </c>
      <c r="F43" s="19">
        <f>SUMIFS(ECUACIONES_TIEMPO!$D:$D,ECUACIONES_TIEMPO!$B:$B,B43)*4055.96</f>
        <v/>
      </c>
      <c r="G43" s="19">
        <f>D43+E43+F43</f>
        <v/>
      </c>
      <c r="H43" s="19">
        <f>IFERROR(AVERAGEIFS(PRODUCCION!$F:$F,PRODUCCION!$B:$B,B43,PRODUCCION!$C:$C,C43),0)</f>
        <v/>
      </c>
      <c r="I43" s="19">
        <f>H43-G43</f>
        <v/>
      </c>
      <c r="J43" s="26">
        <f>IF(H43&gt;0,I43/H43,0)</f>
        <v/>
      </c>
      <c r="K43" s="20">
        <f>SUMIFS(PRODUCCION!$E:$E,PRODUCCION!$B:$B,B43,PRODUCCION!$C:$C,C43)</f>
        <v/>
      </c>
    </row>
    <row r="44">
      <c r="A44" t="inlineStr">
        <is>
          <t>SV00</t>
        </is>
      </c>
      <c r="B44" t="inlineStr">
        <is>
          <t>Cateterismo Cardíaco Derecho</t>
        </is>
      </c>
      <c r="C44" t="inlineStr">
        <is>
          <t>Sede Norte - Bogotá</t>
        </is>
      </c>
      <c r="D44" s="19">
        <f>SUMIFS(ECUACIONES_TIEMPO!$D:$D,ECUACIONES_TIEMPO!$B:$B,B44)*2200</f>
        <v/>
      </c>
      <c r="E44" s="19">
        <f>SUMIFS(INSUMOS!$F:$F,INSUMOS!$B:$B,B44)</f>
        <v/>
      </c>
      <c r="F44" s="19">
        <f>SUMIFS(ECUACIONES_TIEMPO!$D:$D,ECUACIONES_TIEMPO!$B:$B,B44)*4055.96</f>
        <v/>
      </c>
      <c r="G44" s="19">
        <f>D44+E44+F44</f>
        <v/>
      </c>
      <c r="H44" s="19">
        <f>IFERROR(AVERAGEIFS(PRODUCCION!$F:$F,PRODUCCION!$B:$B,B44,PRODUCCION!$C:$C,C44),0)</f>
        <v/>
      </c>
      <c r="I44" s="19">
        <f>H44-G44</f>
        <v/>
      </c>
      <c r="J44" s="26">
        <f>IF(H44&gt;0,I44/H44,0)</f>
        <v/>
      </c>
      <c r="K44" s="20">
        <f>SUMIFS(PRODUCCION!$E:$E,PRODUCCION!$B:$B,B44,PRODUCCION!$C:$C,C44)</f>
        <v/>
      </c>
    </row>
    <row r="45">
      <c r="A45" t="inlineStr">
        <is>
          <t>SV00</t>
        </is>
      </c>
      <c r="B45" t="inlineStr">
        <is>
          <t>Cateterismo Cardíaco Derecho</t>
        </is>
      </c>
      <c r="C45" t="inlineStr">
        <is>
          <t>Sede Sur - Medellín</t>
        </is>
      </c>
      <c r="D45" s="19">
        <f>SUMIFS(ECUACIONES_TIEMPO!$D:$D,ECUACIONES_TIEMPO!$B:$B,B45)*2200</f>
        <v/>
      </c>
      <c r="E45" s="19">
        <f>SUMIFS(INSUMOS!$F:$F,INSUMOS!$B:$B,B45)</f>
        <v/>
      </c>
      <c r="F45" s="19">
        <f>SUMIFS(ECUACIONES_TIEMPO!$D:$D,ECUACIONES_TIEMPO!$B:$B,B45)*4055.96</f>
        <v/>
      </c>
      <c r="G45" s="19">
        <f>D45+E45+F45</f>
        <v/>
      </c>
      <c r="H45" s="19">
        <f>IFERROR(AVERAGEIFS(PRODUCCION!$F:$F,PRODUCCION!$B:$B,B45,PRODUCCION!$C:$C,C45),0)</f>
        <v/>
      </c>
      <c r="I45" s="19">
        <f>H45-G45</f>
        <v/>
      </c>
      <c r="J45" s="26">
        <f>IF(H45&gt;0,I45/H45,0)</f>
        <v/>
      </c>
      <c r="K45" s="20">
        <f>SUMIFS(PRODUCCION!$E:$E,PRODUCCION!$B:$B,B45,PRODUCCION!$C:$C,C45)</f>
        <v/>
      </c>
    </row>
    <row r="46">
      <c r="A46" t="inlineStr">
        <is>
          <t>SV00</t>
        </is>
      </c>
      <c r="B46" t="inlineStr">
        <is>
          <t>Cateterismo Cardíaco Derecho</t>
        </is>
      </c>
      <c r="C46" t="inlineStr">
        <is>
          <t>Sede Centro - Cali</t>
        </is>
      </c>
      <c r="D46" s="19">
        <f>SUMIFS(ECUACIONES_TIEMPO!$D:$D,ECUACIONES_TIEMPO!$B:$B,B46)*2200</f>
        <v/>
      </c>
      <c r="E46" s="19">
        <f>SUMIFS(INSUMOS!$F:$F,INSUMOS!$B:$B,B46)</f>
        <v/>
      </c>
      <c r="F46" s="19">
        <f>SUMIFS(ECUACIONES_TIEMPO!$D:$D,ECUACIONES_TIEMPO!$B:$B,B46)*4055.96</f>
        <v/>
      </c>
      <c r="G46" s="19">
        <f>D46+E46+F46</f>
        <v/>
      </c>
      <c r="H46" s="19">
        <f>IFERROR(AVERAGEIFS(PRODUCCION!$F:$F,PRODUCCION!$B:$B,B46,PRODUCCION!$C:$C,C46),0)</f>
        <v/>
      </c>
      <c r="I46" s="19">
        <f>H46-G46</f>
        <v/>
      </c>
      <c r="J46" s="26">
        <f>IF(H46&gt;0,I46/H46,0)</f>
        <v/>
      </c>
      <c r="K46" s="20">
        <f>SUMIFS(PRODUCCION!$E:$E,PRODUCCION!$B:$B,B46,PRODUCCION!$C:$C,C46)</f>
        <v/>
      </c>
    </row>
    <row r="47">
      <c r="A47" t="inlineStr">
        <is>
          <t>SV00</t>
        </is>
      </c>
      <c r="B47" t="inlineStr">
        <is>
          <t>Cateterismo Cardíaco Izquierdo</t>
        </is>
      </c>
      <c r="C47" t="inlineStr">
        <is>
          <t>Sede Norte - Bogotá</t>
        </is>
      </c>
      <c r="D47" s="19">
        <f>SUMIFS(ECUACIONES_TIEMPO!$D:$D,ECUACIONES_TIEMPO!$B:$B,B47)*2200</f>
        <v/>
      </c>
      <c r="E47" s="19">
        <f>SUMIFS(INSUMOS!$F:$F,INSUMOS!$B:$B,B47)</f>
        <v/>
      </c>
      <c r="F47" s="19">
        <f>SUMIFS(ECUACIONES_TIEMPO!$D:$D,ECUACIONES_TIEMPO!$B:$B,B47)*4055.96</f>
        <v/>
      </c>
      <c r="G47" s="19">
        <f>D47+E47+F47</f>
        <v/>
      </c>
      <c r="H47" s="19">
        <f>IFERROR(AVERAGEIFS(PRODUCCION!$F:$F,PRODUCCION!$B:$B,B47,PRODUCCION!$C:$C,C47),0)</f>
        <v/>
      </c>
      <c r="I47" s="19">
        <f>H47-G47</f>
        <v/>
      </c>
      <c r="J47" s="26">
        <f>IF(H47&gt;0,I47/H47,0)</f>
        <v/>
      </c>
      <c r="K47" s="20">
        <f>SUMIFS(PRODUCCION!$E:$E,PRODUCCION!$B:$B,B47,PRODUCCION!$C:$C,C47)</f>
        <v/>
      </c>
    </row>
    <row r="48">
      <c r="A48" t="inlineStr">
        <is>
          <t>SV00</t>
        </is>
      </c>
      <c r="B48" t="inlineStr">
        <is>
          <t>Cateterismo Cardíaco Izquierdo</t>
        </is>
      </c>
      <c r="C48" t="inlineStr">
        <is>
          <t>Sede Sur - Medellín</t>
        </is>
      </c>
      <c r="D48" s="19">
        <f>SUMIFS(ECUACIONES_TIEMPO!$D:$D,ECUACIONES_TIEMPO!$B:$B,B48)*2200</f>
        <v/>
      </c>
      <c r="E48" s="19">
        <f>SUMIFS(INSUMOS!$F:$F,INSUMOS!$B:$B,B48)</f>
        <v/>
      </c>
      <c r="F48" s="19">
        <f>SUMIFS(ECUACIONES_TIEMPO!$D:$D,ECUACIONES_TIEMPO!$B:$B,B48)*4055.96</f>
        <v/>
      </c>
      <c r="G48" s="19">
        <f>D48+E48+F48</f>
        <v/>
      </c>
      <c r="H48" s="19">
        <f>IFERROR(AVERAGEIFS(PRODUCCION!$F:$F,PRODUCCION!$B:$B,B48,PRODUCCION!$C:$C,C48),0)</f>
        <v/>
      </c>
      <c r="I48" s="19">
        <f>H48-G48</f>
        <v/>
      </c>
      <c r="J48" s="26">
        <f>IF(H48&gt;0,I48/H48,0)</f>
        <v/>
      </c>
      <c r="K48" s="20">
        <f>SUMIFS(PRODUCCION!$E:$E,PRODUCCION!$B:$B,B48,PRODUCCION!$C:$C,C48)</f>
        <v/>
      </c>
    </row>
    <row r="49">
      <c r="A49" t="inlineStr">
        <is>
          <t>SV00</t>
        </is>
      </c>
      <c r="B49" t="inlineStr">
        <is>
          <t>Cateterismo Cardíaco Izquierdo</t>
        </is>
      </c>
      <c r="C49" t="inlineStr">
        <is>
          <t>Sede Centro - Cali</t>
        </is>
      </c>
      <c r="D49" s="19">
        <f>SUMIFS(ECUACIONES_TIEMPO!$D:$D,ECUACIONES_TIEMPO!$B:$B,B49)*2200</f>
        <v/>
      </c>
      <c r="E49" s="19">
        <f>SUMIFS(INSUMOS!$F:$F,INSUMOS!$B:$B,B49)</f>
        <v/>
      </c>
      <c r="F49" s="19">
        <f>SUMIFS(ECUACIONES_TIEMPO!$D:$D,ECUACIONES_TIEMPO!$B:$B,B49)*4055.96</f>
        <v/>
      </c>
      <c r="G49" s="19">
        <f>D49+E49+F49</f>
        <v/>
      </c>
      <c r="H49" s="19">
        <f>IFERROR(AVERAGEIFS(PRODUCCION!$F:$F,PRODUCCION!$B:$B,B49,PRODUCCION!$C:$C,C49),0)</f>
        <v/>
      </c>
      <c r="I49" s="19">
        <f>H49-G49</f>
        <v/>
      </c>
      <c r="J49" s="26">
        <f>IF(H49&gt;0,I49/H49,0)</f>
        <v/>
      </c>
      <c r="K49" s="20">
        <f>SUMIFS(PRODUCCION!$E:$E,PRODUCCION!$B:$B,B49,PRODUCCION!$C:$C,C49)</f>
        <v/>
      </c>
    </row>
    <row r="50">
      <c r="A50" t="inlineStr">
        <is>
          <t>SV00</t>
        </is>
      </c>
      <c r="B50" t="inlineStr">
        <is>
          <t>Angioplastia Coronaria</t>
        </is>
      </c>
      <c r="C50" t="inlineStr">
        <is>
          <t>Sede Norte - Bogotá</t>
        </is>
      </c>
      <c r="D50" s="19">
        <f>SUMIFS(ECUACIONES_TIEMPO!$D:$D,ECUACIONES_TIEMPO!$B:$B,B50)*2200</f>
        <v/>
      </c>
      <c r="E50" s="19">
        <f>SUMIFS(INSUMOS!$F:$F,INSUMOS!$B:$B,B50)</f>
        <v/>
      </c>
      <c r="F50" s="19">
        <f>SUMIFS(ECUACIONES_TIEMPO!$D:$D,ECUACIONES_TIEMPO!$B:$B,B50)*4055.96</f>
        <v/>
      </c>
      <c r="G50" s="19">
        <f>D50+E50+F50</f>
        <v/>
      </c>
      <c r="H50" s="19">
        <f>IFERROR(AVERAGEIFS(PRODUCCION!$F:$F,PRODUCCION!$B:$B,B50,PRODUCCION!$C:$C,C50),0)</f>
        <v/>
      </c>
      <c r="I50" s="19">
        <f>H50-G50</f>
        <v/>
      </c>
      <c r="J50" s="26">
        <f>IF(H50&gt;0,I50/H50,0)</f>
        <v/>
      </c>
      <c r="K50" s="20">
        <f>SUMIFS(PRODUCCION!$E:$E,PRODUCCION!$B:$B,B50,PRODUCCION!$C:$C,C50)</f>
        <v/>
      </c>
    </row>
    <row r="51">
      <c r="A51" t="inlineStr">
        <is>
          <t>SV00</t>
        </is>
      </c>
      <c r="B51" t="inlineStr">
        <is>
          <t>Angioplastia Coronaria</t>
        </is>
      </c>
      <c r="C51" t="inlineStr">
        <is>
          <t>Sede Sur - Medellín</t>
        </is>
      </c>
      <c r="D51" s="19">
        <f>SUMIFS(ECUACIONES_TIEMPO!$D:$D,ECUACIONES_TIEMPO!$B:$B,B51)*2200</f>
        <v/>
      </c>
      <c r="E51" s="19">
        <f>SUMIFS(INSUMOS!$F:$F,INSUMOS!$B:$B,B51)</f>
        <v/>
      </c>
      <c r="F51" s="19">
        <f>SUMIFS(ECUACIONES_TIEMPO!$D:$D,ECUACIONES_TIEMPO!$B:$B,B51)*4055.96</f>
        <v/>
      </c>
      <c r="G51" s="19">
        <f>D51+E51+F51</f>
        <v/>
      </c>
      <c r="H51" s="19">
        <f>IFERROR(AVERAGEIFS(PRODUCCION!$F:$F,PRODUCCION!$B:$B,B51,PRODUCCION!$C:$C,C51),0)</f>
        <v/>
      </c>
      <c r="I51" s="19">
        <f>H51-G51</f>
        <v/>
      </c>
      <c r="J51" s="26">
        <f>IF(H51&gt;0,I51/H51,0)</f>
        <v/>
      </c>
      <c r="K51" s="20">
        <f>SUMIFS(PRODUCCION!$E:$E,PRODUCCION!$B:$B,B51,PRODUCCION!$C:$C,C51)</f>
        <v/>
      </c>
    </row>
    <row r="52">
      <c r="A52" t="inlineStr">
        <is>
          <t>SV00</t>
        </is>
      </c>
      <c r="B52" t="inlineStr">
        <is>
          <t>Angioplastia Coronaria</t>
        </is>
      </c>
      <c r="C52" t="inlineStr">
        <is>
          <t>Sede Centro - Cali</t>
        </is>
      </c>
      <c r="D52" s="19">
        <f>SUMIFS(ECUACIONES_TIEMPO!$D:$D,ECUACIONES_TIEMPO!$B:$B,B52)*2200</f>
        <v/>
      </c>
      <c r="E52" s="19">
        <f>SUMIFS(INSUMOS!$F:$F,INSUMOS!$B:$B,B52)</f>
        <v/>
      </c>
      <c r="F52" s="19">
        <f>SUMIFS(ECUACIONES_TIEMPO!$D:$D,ECUACIONES_TIEMPO!$B:$B,B52)*4055.96</f>
        <v/>
      </c>
      <c r="G52" s="19">
        <f>D52+E52+F52</f>
        <v/>
      </c>
      <c r="H52" s="19">
        <f>IFERROR(AVERAGEIFS(PRODUCCION!$F:$F,PRODUCCION!$B:$B,B52,PRODUCCION!$C:$C,C52),0)</f>
        <v/>
      </c>
      <c r="I52" s="19">
        <f>H52-G52</f>
        <v/>
      </c>
      <c r="J52" s="26">
        <f>IF(H52&gt;0,I52/H52,0)</f>
        <v/>
      </c>
      <c r="K52" s="20">
        <f>SUMIFS(PRODUCCION!$E:$E,PRODUCCION!$B:$B,B52,PRODUCCION!$C:$C,C52)</f>
        <v/>
      </c>
    </row>
    <row r="53">
      <c r="A53" t="inlineStr">
        <is>
          <t>SV00</t>
        </is>
      </c>
      <c r="B53" t="inlineStr">
        <is>
          <t>Ablación por Radiofrecuencia</t>
        </is>
      </c>
      <c r="C53" t="inlineStr">
        <is>
          <t>Sede Norte - Bogotá</t>
        </is>
      </c>
      <c r="D53" s="19">
        <f>SUMIFS(ECUACIONES_TIEMPO!$D:$D,ECUACIONES_TIEMPO!$B:$B,B53)*2200</f>
        <v/>
      </c>
      <c r="E53" s="19">
        <f>SUMIFS(INSUMOS!$F:$F,INSUMOS!$B:$B,B53)</f>
        <v/>
      </c>
      <c r="F53" s="19">
        <f>SUMIFS(ECUACIONES_TIEMPO!$D:$D,ECUACIONES_TIEMPO!$B:$B,B53)*4055.96</f>
        <v/>
      </c>
      <c r="G53" s="19">
        <f>D53+E53+F53</f>
        <v/>
      </c>
      <c r="H53" s="19">
        <f>IFERROR(AVERAGEIFS(PRODUCCION!$F:$F,PRODUCCION!$B:$B,B53,PRODUCCION!$C:$C,C53),0)</f>
        <v/>
      </c>
      <c r="I53" s="19">
        <f>H53-G53</f>
        <v/>
      </c>
      <c r="J53" s="26">
        <f>IF(H53&gt;0,I53/H53,0)</f>
        <v/>
      </c>
      <c r="K53" s="20">
        <f>SUMIFS(PRODUCCION!$E:$E,PRODUCCION!$B:$B,B53,PRODUCCION!$C:$C,C53)</f>
        <v/>
      </c>
    </row>
    <row r="54">
      <c r="A54" t="inlineStr">
        <is>
          <t>SV00</t>
        </is>
      </c>
      <c r="B54" t="inlineStr">
        <is>
          <t>Ablación por Radiofrecuencia</t>
        </is>
      </c>
      <c r="C54" t="inlineStr">
        <is>
          <t>Sede Sur - Medellín</t>
        </is>
      </c>
      <c r="D54" s="19">
        <f>SUMIFS(ECUACIONES_TIEMPO!$D:$D,ECUACIONES_TIEMPO!$B:$B,B54)*2200</f>
        <v/>
      </c>
      <c r="E54" s="19">
        <f>SUMIFS(INSUMOS!$F:$F,INSUMOS!$B:$B,B54)</f>
        <v/>
      </c>
      <c r="F54" s="19">
        <f>SUMIFS(ECUACIONES_TIEMPO!$D:$D,ECUACIONES_TIEMPO!$B:$B,B54)*4055.96</f>
        <v/>
      </c>
      <c r="G54" s="19">
        <f>D54+E54+F54</f>
        <v/>
      </c>
      <c r="H54" s="19">
        <f>IFERROR(AVERAGEIFS(PRODUCCION!$F:$F,PRODUCCION!$B:$B,B54,PRODUCCION!$C:$C,C54),0)</f>
        <v/>
      </c>
      <c r="I54" s="19">
        <f>H54-G54</f>
        <v/>
      </c>
      <c r="J54" s="26">
        <f>IF(H54&gt;0,I54/H54,0)</f>
        <v/>
      </c>
      <c r="K54" s="20">
        <f>SUMIFS(PRODUCCION!$E:$E,PRODUCCION!$B:$B,B54,PRODUCCION!$C:$C,C54)</f>
        <v/>
      </c>
    </row>
    <row r="55">
      <c r="A55" t="inlineStr">
        <is>
          <t>SV00</t>
        </is>
      </c>
      <c r="B55" t="inlineStr">
        <is>
          <t>Ablación por Radiofrecuencia</t>
        </is>
      </c>
      <c r="C55" t="inlineStr">
        <is>
          <t>Sede Centro - Cali</t>
        </is>
      </c>
      <c r="D55" s="19">
        <f>SUMIFS(ECUACIONES_TIEMPO!$D:$D,ECUACIONES_TIEMPO!$B:$B,B55)*2200</f>
        <v/>
      </c>
      <c r="E55" s="19">
        <f>SUMIFS(INSUMOS!$F:$F,INSUMOS!$B:$B,B55)</f>
        <v/>
      </c>
      <c r="F55" s="19">
        <f>SUMIFS(ECUACIONES_TIEMPO!$D:$D,ECUACIONES_TIEMPO!$B:$B,B55)*4055.96</f>
        <v/>
      </c>
      <c r="G55" s="19">
        <f>D55+E55+F55</f>
        <v/>
      </c>
      <c r="H55" s="19">
        <f>IFERROR(AVERAGEIFS(PRODUCCION!$F:$F,PRODUCCION!$B:$B,B55,PRODUCCION!$C:$C,C55),0)</f>
        <v/>
      </c>
      <c r="I55" s="19">
        <f>H55-G55</f>
        <v/>
      </c>
      <c r="J55" s="26">
        <f>IF(H55&gt;0,I55/H55,0)</f>
        <v/>
      </c>
      <c r="K55" s="20">
        <f>SUMIFS(PRODUCCION!$E:$E,PRODUCCION!$B:$B,B55,PRODUCCION!$C:$C,C55)</f>
        <v/>
      </c>
    </row>
    <row r="56">
      <c r="A56" t="inlineStr">
        <is>
          <t>SV00</t>
        </is>
      </c>
      <c r="B56" t="inlineStr">
        <is>
          <t>Cierre de CIA</t>
        </is>
      </c>
      <c r="C56" t="inlineStr">
        <is>
          <t>Sede Norte - Bogotá</t>
        </is>
      </c>
      <c r="D56" s="19">
        <f>SUMIFS(ECUACIONES_TIEMPO!$D:$D,ECUACIONES_TIEMPO!$B:$B,B56)*2200</f>
        <v/>
      </c>
      <c r="E56" s="19">
        <f>SUMIFS(INSUMOS!$F:$F,INSUMOS!$B:$B,B56)</f>
        <v/>
      </c>
      <c r="F56" s="19">
        <f>SUMIFS(ECUACIONES_TIEMPO!$D:$D,ECUACIONES_TIEMPO!$B:$B,B56)*4055.96</f>
        <v/>
      </c>
      <c r="G56" s="19">
        <f>D56+E56+F56</f>
        <v/>
      </c>
      <c r="H56" s="19">
        <f>IFERROR(AVERAGEIFS(PRODUCCION!$F:$F,PRODUCCION!$B:$B,B56,PRODUCCION!$C:$C,C56),0)</f>
        <v/>
      </c>
      <c r="I56" s="19">
        <f>H56-G56</f>
        <v/>
      </c>
      <c r="J56" s="26">
        <f>IF(H56&gt;0,I56/H56,0)</f>
        <v/>
      </c>
      <c r="K56" s="20">
        <f>SUMIFS(PRODUCCION!$E:$E,PRODUCCION!$B:$B,B56,PRODUCCION!$C:$C,C56)</f>
        <v/>
      </c>
    </row>
    <row r="57">
      <c r="A57" t="inlineStr">
        <is>
          <t>SV00</t>
        </is>
      </c>
      <c r="B57" t="inlineStr">
        <is>
          <t>Cierre de CIA</t>
        </is>
      </c>
      <c r="C57" t="inlineStr">
        <is>
          <t>Sede Sur - Medellín</t>
        </is>
      </c>
      <c r="D57" s="19">
        <f>SUMIFS(ECUACIONES_TIEMPO!$D:$D,ECUACIONES_TIEMPO!$B:$B,B57)*2200</f>
        <v/>
      </c>
      <c r="E57" s="19">
        <f>SUMIFS(INSUMOS!$F:$F,INSUMOS!$B:$B,B57)</f>
        <v/>
      </c>
      <c r="F57" s="19">
        <f>SUMIFS(ECUACIONES_TIEMPO!$D:$D,ECUACIONES_TIEMPO!$B:$B,B57)*4055.96</f>
        <v/>
      </c>
      <c r="G57" s="19">
        <f>D57+E57+F57</f>
        <v/>
      </c>
      <c r="H57" s="19">
        <f>IFERROR(AVERAGEIFS(PRODUCCION!$F:$F,PRODUCCION!$B:$B,B57,PRODUCCION!$C:$C,C57),0)</f>
        <v/>
      </c>
      <c r="I57" s="19">
        <f>H57-G57</f>
        <v/>
      </c>
      <c r="J57" s="26">
        <f>IF(H57&gt;0,I57/H57,0)</f>
        <v/>
      </c>
      <c r="K57" s="20">
        <f>SUMIFS(PRODUCCION!$E:$E,PRODUCCION!$B:$B,B57,PRODUCCION!$C:$C,C57)</f>
        <v/>
      </c>
    </row>
    <row r="58">
      <c r="A58" t="inlineStr">
        <is>
          <t>SV00</t>
        </is>
      </c>
      <c r="B58" t="inlineStr">
        <is>
          <t>Cierre de CIA</t>
        </is>
      </c>
      <c r="C58" t="inlineStr">
        <is>
          <t>Sede Centro - Cali</t>
        </is>
      </c>
      <c r="D58" s="19">
        <f>SUMIFS(ECUACIONES_TIEMPO!$D:$D,ECUACIONES_TIEMPO!$B:$B,B58)*2200</f>
        <v/>
      </c>
      <c r="E58" s="19">
        <f>SUMIFS(INSUMOS!$F:$F,INSUMOS!$B:$B,B58)</f>
        <v/>
      </c>
      <c r="F58" s="19">
        <f>SUMIFS(ECUACIONES_TIEMPO!$D:$D,ECUACIONES_TIEMPO!$B:$B,B58)*4055.96</f>
        <v/>
      </c>
      <c r="G58" s="19">
        <f>D58+E58+F58</f>
        <v/>
      </c>
      <c r="H58" s="19">
        <f>IFERROR(AVERAGEIFS(PRODUCCION!$F:$F,PRODUCCION!$B:$B,B58,PRODUCCION!$C:$C,C58),0)</f>
        <v/>
      </c>
      <c r="I58" s="19">
        <f>H58-G58</f>
        <v/>
      </c>
      <c r="J58" s="26">
        <f>IF(H58&gt;0,I58/H58,0)</f>
        <v/>
      </c>
      <c r="K58" s="20">
        <f>SUMIFS(PRODUCCION!$E:$E,PRODUCCION!$B:$B,B58,PRODUCCION!$C:$C,C58)</f>
        <v/>
      </c>
    </row>
    <row r="59">
      <c r="A59" t="inlineStr">
        <is>
          <t>SV00</t>
        </is>
      </c>
      <c r="B59" t="inlineStr">
        <is>
          <t>Estudio Hemodinámico Completo</t>
        </is>
      </c>
      <c r="C59" t="inlineStr">
        <is>
          <t>Sede Norte - Bogotá</t>
        </is>
      </c>
      <c r="D59" s="19">
        <f>SUMIFS(ECUACIONES_TIEMPO!$D:$D,ECUACIONES_TIEMPO!$B:$B,B59)*2200</f>
        <v/>
      </c>
      <c r="E59" s="19">
        <f>SUMIFS(INSUMOS!$F:$F,INSUMOS!$B:$B,B59)</f>
        <v/>
      </c>
      <c r="F59" s="19">
        <f>SUMIFS(ECUACIONES_TIEMPO!$D:$D,ECUACIONES_TIEMPO!$B:$B,B59)*4055.96</f>
        <v/>
      </c>
      <c r="G59" s="19">
        <f>D59+E59+F59</f>
        <v/>
      </c>
      <c r="H59" s="19">
        <f>IFERROR(AVERAGEIFS(PRODUCCION!$F:$F,PRODUCCION!$B:$B,B59,PRODUCCION!$C:$C,C59),0)</f>
        <v/>
      </c>
      <c r="I59" s="19">
        <f>H59-G59</f>
        <v/>
      </c>
      <c r="J59" s="26">
        <f>IF(H59&gt;0,I59/H59,0)</f>
        <v/>
      </c>
      <c r="K59" s="20">
        <f>SUMIFS(PRODUCCION!$E:$E,PRODUCCION!$B:$B,B59,PRODUCCION!$C:$C,C59)</f>
        <v/>
      </c>
    </row>
    <row r="60">
      <c r="A60" t="inlineStr">
        <is>
          <t>SV00</t>
        </is>
      </c>
      <c r="B60" t="inlineStr">
        <is>
          <t>Estudio Hemodinámico Completo</t>
        </is>
      </c>
      <c r="C60" t="inlineStr">
        <is>
          <t>Sede Sur - Medellín</t>
        </is>
      </c>
      <c r="D60" s="19">
        <f>SUMIFS(ECUACIONES_TIEMPO!$D:$D,ECUACIONES_TIEMPO!$B:$B,B60)*2200</f>
        <v/>
      </c>
      <c r="E60" s="19">
        <f>SUMIFS(INSUMOS!$F:$F,INSUMOS!$B:$B,B60)</f>
        <v/>
      </c>
      <c r="F60" s="19">
        <f>SUMIFS(ECUACIONES_TIEMPO!$D:$D,ECUACIONES_TIEMPO!$B:$B,B60)*4055.96</f>
        <v/>
      </c>
      <c r="G60" s="19">
        <f>D60+E60+F60</f>
        <v/>
      </c>
      <c r="H60" s="19">
        <f>IFERROR(AVERAGEIFS(PRODUCCION!$F:$F,PRODUCCION!$B:$B,B60,PRODUCCION!$C:$C,C60),0)</f>
        <v/>
      </c>
      <c r="I60" s="19">
        <f>H60-G60</f>
        <v/>
      </c>
      <c r="J60" s="26">
        <f>IF(H60&gt;0,I60/H60,0)</f>
        <v/>
      </c>
      <c r="K60" s="20">
        <f>SUMIFS(PRODUCCION!$E:$E,PRODUCCION!$B:$B,B60,PRODUCCION!$C:$C,C60)</f>
        <v/>
      </c>
    </row>
    <row r="61">
      <c r="A61" t="inlineStr">
        <is>
          <t>SV00</t>
        </is>
      </c>
      <c r="B61" t="inlineStr">
        <is>
          <t>Estudio Hemodinámico Completo</t>
        </is>
      </c>
      <c r="C61" t="inlineStr">
        <is>
          <t>Sede Centro - Cali</t>
        </is>
      </c>
      <c r="D61" s="19">
        <f>SUMIFS(ECUACIONES_TIEMPO!$D:$D,ECUACIONES_TIEMPO!$B:$B,B61)*2200</f>
        <v/>
      </c>
      <c r="E61" s="19">
        <f>SUMIFS(INSUMOS!$F:$F,INSUMOS!$B:$B,B61)</f>
        <v/>
      </c>
      <c r="F61" s="19">
        <f>SUMIFS(ECUACIONES_TIEMPO!$D:$D,ECUACIONES_TIEMPO!$B:$B,B61)*4055.96</f>
        <v/>
      </c>
      <c r="G61" s="19">
        <f>D61+E61+F61</f>
        <v/>
      </c>
      <c r="H61" s="19">
        <f>IFERROR(AVERAGEIFS(PRODUCCION!$F:$F,PRODUCCION!$B:$B,B61,PRODUCCION!$C:$C,C61),0)</f>
        <v/>
      </c>
      <c r="I61" s="19">
        <f>H61-G61</f>
        <v/>
      </c>
      <c r="J61" s="26">
        <f>IF(H61&gt;0,I61/H61,0)</f>
        <v/>
      </c>
      <c r="K61" s="20">
        <f>SUMIFS(PRODUCCION!$E:$E,PRODUCCION!$B:$B,B61,PRODUCCION!$C:$C,C61)</f>
        <v/>
      </c>
    </row>
    <row r="62">
      <c r="A62" t="inlineStr">
        <is>
          <t>SV00</t>
        </is>
      </c>
      <c r="B62" t="inlineStr">
        <is>
          <t>Biopsia Endomiocárdica</t>
        </is>
      </c>
      <c r="C62" t="inlineStr">
        <is>
          <t>Sede Norte - Bogotá</t>
        </is>
      </c>
      <c r="D62" s="19">
        <f>SUMIFS(ECUACIONES_TIEMPO!$D:$D,ECUACIONES_TIEMPO!$B:$B,B62)*2200</f>
        <v/>
      </c>
      <c r="E62" s="19">
        <f>SUMIFS(INSUMOS!$F:$F,INSUMOS!$B:$B,B62)</f>
        <v/>
      </c>
      <c r="F62" s="19">
        <f>SUMIFS(ECUACIONES_TIEMPO!$D:$D,ECUACIONES_TIEMPO!$B:$B,B62)*4055.96</f>
        <v/>
      </c>
      <c r="G62" s="19">
        <f>D62+E62+F62</f>
        <v/>
      </c>
      <c r="H62" s="19">
        <f>IFERROR(AVERAGEIFS(PRODUCCION!$F:$F,PRODUCCION!$B:$B,B62,PRODUCCION!$C:$C,C62),0)</f>
        <v/>
      </c>
      <c r="I62" s="19">
        <f>H62-G62</f>
        <v/>
      </c>
      <c r="J62" s="26">
        <f>IF(H62&gt;0,I62/H62,0)</f>
        <v/>
      </c>
      <c r="K62" s="20">
        <f>SUMIFS(PRODUCCION!$E:$E,PRODUCCION!$B:$B,B62,PRODUCCION!$C:$C,C62)</f>
        <v/>
      </c>
    </row>
    <row r="63">
      <c r="A63" t="inlineStr">
        <is>
          <t>SV00</t>
        </is>
      </c>
      <c r="B63" t="inlineStr">
        <is>
          <t>Biopsia Endomiocárdica</t>
        </is>
      </c>
      <c r="C63" t="inlineStr">
        <is>
          <t>Sede Sur - Medellín</t>
        </is>
      </c>
      <c r="D63" s="19">
        <f>SUMIFS(ECUACIONES_TIEMPO!$D:$D,ECUACIONES_TIEMPO!$B:$B,B63)*2200</f>
        <v/>
      </c>
      <c r="E63" s="19">
        <f>SUMIFS(INSUMOS!$F:$F,INSUMOS!$B:$B,B63)</f>
        <v/>
      </c>
      <c r="F63" s="19">
        <f>SUMIFS(ECUACIONES_TIEMPO!$D:$D,ECUACIONES_TIEMPO!$B:$B,B63)*4055.96</f>
        <v/>
      </c>
      <c r="G63" s="19">
        <f>D63+E63+F63</f>
        <v/>
      </c>
      <c r="H63" s="19">
        <f>IFERROR(AVERAGEIFS(PRODUCCION!$F:$F,PRODUCCION!$B:$B,B63,PRODUCCION!$C:$C,C63),0)</f>
        <v/>
      </c>
      <c r="I63" s="19">
        <f>H63-G63</f>
        <v/>
      </c>
      <c r="J63" s="26">
        <f>IF(H63&gt;0,I63/H63,0)</f>
        <v/>
      </c>
      <c r="K63" s="20">
        <f>SUMIFS(PRODUCCION!$E:$E,PRODUCCION!$B:$B,B63,PRODUCCION!$C:$C,C63)</f>
        <v/>
      </c>
    </row>
    <row r="64">
      <c r="A64" t="inlineStr">
        <is>
          <t>SV00</t>
        </is>
      </c>
      <c r="B64" t="inlineStr">
        <is>
          <t>Biopsia Endomiocárdica</t>
        </is>
      </c>
      <c r="C64" t="inlineStr">
        <is>
          <t>Sede Centro - Cali</t>
        </is>
      </c>
      <c r="D64" s="19">
        <f>SUMIFS(ECUACIONES_TIEMPO!$D:$D,ECUACIONES_TIEMPO!$B:$B,B64)*2200</f>
        <v/>
      </c>
      <c r="E64" s="19">
        <f>SUMIFS(INSUMOS!$F:$F,INSUMOS!$B:$B,B64)</f>
        <v/>
      </c>
      <c r="F64" s="19">
        <f>SUMIFS(ECUACIONES_TIEMPO!$D:$D,ECUACIONES_TIEMPO!$B:$B,B64)*4055.96</f>
        <v/>
      </c>
      <c r="G64" s="19">
        <f>D64+E64+F64</f>
        <v/>
      </c>
      <c r="H64" s="19">
        <f>IFERROR(AVERAGEIFS(PRODUCCION!$F:$F,PRODUCCION!$B:$B,B64,PRODUCCION!$C:$C,C64),0)</f>
        <v/>
      </c>
      <c r="I64" s="19">
        <f>H64-G64</f>
        <v/>
      </c>
      <c r="J64" s="26">
        <f>IF(H64&gt;0,I64/H64,0)</f>
        <v/>
      </c>
      <c r="K64" s="20">
        <f>SUMIFS(PRODUCCION!$E:$E,PRODUCCION!$B:$B,B64,PRODUCCION!$C:$C,C64)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8" customWidth="1" min="4" max="4"/>
    <col width="25" customWidth="1" min="5" max="5"/>
    <col width="15" customWidth="1" min="6" max="6"/>
  </cols>
  <sheetData>
    <row r="1">
      <c r="A1" s="24" t="inlineStr">
        <is>
          <t>AUXILIAR DE COSTOS DE PRODUCCIÓN (CLASE 7)</t>
        </is>
      </c>
    </row>
    <row r="2">
      <c r="A2" s="25" t="inlineStr">
        <is>
          <t>Consolidación de Costos Directos e Indirectos (P.U.C.)</t>
        </is>
      </c>
    </row>
    <row r="4">
      <c r="A4" s="10" t="inlineStr">
        <is>
          <t>Código Cuenta</t>
        </is>
      </c>
      <c r="B4" s="10" t="inlineStr">
        <is>
          <t>Concepto</t>
        </is>
      </c>
      <c r="C4" s="10" t="inlineStr">
        <is>
          <t>Sede</t>
        </is>
      </c>
      <c r="D4" s="10" t="inlineStr">
        <is>
          <t>Valor Mensual</t>
        </is>
      </c>
      <c r="E4" s="10" t="inlineStr">
        <is>
          <t>Criterio Distribución</t>
        </is>
      </c>
      <c r="F4" s="10" t="inlineStr">
        <is>
          <t>Tipo Gasto</t>
        </is>
      </c>
    </row>
    <row r="5">
      <c r="A5" s="5" t="inlineStr">
        <is>
          <t>7105</t>
        </is>
      </c>
      <c r="B5" s="5" t="inlineStr">
        <is>
          <t>COSTO MATERIA PRIMA (INSUMOS)</t>
        </is>
      </c>
      <c r="C5" s="5" t="inlineStr">
        <is>
          <t>Sede Norte - Bogotá</t>
        </is>
      </c>
      <c r="D5" s="12">
        <f>SUMPRODUCT((COSTEO_SERVICIOS!$C$5:$C$500="Sede Norte - Bogotá")*(COSTEO_SERVICIOS!$E$5:$E$500)*(COSTEO_SERVICIOS!$K$5:$K$500))</f>
        <v/>
      </c>
      <c r="E5" s="5" t="inlineStr">
        <is>
          <t>Consumo Real (Volumen)</t>
        </is>
      </c>
      <c r="F5" s="5" t="inlineStr">
        <is>
          <t>Variable</t>
        </is>
      </c>
    </row>
    <row r="6">
      <c r="A6" s="5" t="inlineStr">
        <is>
          <t>7205</t>
        </is>
      </c>
      <c r="B6" s="5" t="inlineStr">
        <is>
          <t>COSTO MANO DE OBRA DIRECTA</t>
        </is>
      </c>
      <c r="C6" s="5" t="inlineStr">
        <is>
          <t>Sede Norte - Bogotá</t>
        </is>
      </c>
      <c r="D6" s="12">
        <f>SUMIFS(NOMINA!$G:$G,NOMINA!$H:$H,"Sede Norte - Bogotá")</f>
        <v/>
      </c>
      <c r="E6" s="5" t="inlineStr">
        <is>
          <t>Nómina Directa</t>
        </is>
      </c>
      <c r="F6" s="5" t="inlineStr">
        <is>
          <t>Fijo</t>
        </is>
      </c>
    </row>
    <row r="7">
      <c r="A7" s="5" t="inlineStr">
        <is>
          <t>7105</t>
        </is>
      </c>
      <c r="B7" s="5" t="inlineStr">
        <is>
          <t>COSTO MATERIA PRIMA (INSUMOS)</t>
        </is>
      </c>
      <c r="C7" s="5" t="inlineStr">
        <is>
          <t>Sede Sur - Medellín</t>
        </is>
      </c>
      <c r="D7" s="12">
        <f>SUMPRODUCT((COSTEO_SERVICIOS!$C$5:$C$500="Sede Sur - Medellín")*(COSTEO_SERVICIOS!$E$5:$E$500)*(COSTEO_SERVICIOS!$K$5:$K$500))</f>
        <v/>
      </c>
      <c r="E7" s="5" t="inlineStr">
        <is>
          <t>Consumo Real (Volumen)</t>
        </is>
      </c>
      <c r="F7" s="5" t="inlineStr">
        <is>
          <t>Variable</t>
        </is>
      </c>
    </row>
    <row r="8">
      <c r="A8" s="5" t="inlineStr">
        <is>
          <t>7205</t>
        </is>
      </c>
      <c r="B8" s="5" t="inlineStr">
        <is>
          <t>COSTO MANO DE OBRA DIRECTA</t>
        </is>
      </c>
      <c r="C8" s="5" t="inlineStr">
        <is>
          <t>Sede Sur - Medellín</t>
        </is>
      </c>
      <c r="D8" s="12">
        <f>SUMIFS(NOMINA!$G:$G,NOMINA!$H:$H,"Sede Sur - Medellín")</f>
        <v/>
      </c>
      <c r="E8" s="5" t="inlineStr">
        <is>
          <t>Nómina Directa</t>
        </is>
      </c>
      <c r="F8" s="5" t="inlineStr">
        <is>
          <t>Fijo</t>
        </is>
      </c>
    </row>
    <row r="9">
      <c r="A9" s="5" t="inlineStr">
        <is>
          <t>7105</t>
        </is>
      </c>
      <c r="B9" s="5" t="inlineStr">
        <is>
          <t>COSTO MATERIA PRIMA (INSUMOS)</t>
        </is>
      </c>
      <c r="C9" s="5" t="inlineStr">
        <is>
          <t>Sede Centro - Cali</t>
        </is>
      </c>
      <c r="D9" s="12">
        <f>SUMPRODUCT((COSTEO_SERVICIOS!$C$5:$C$500="Sede Centro - Cali")*(COSTEO_SERVICIOS!$E$5:$E$500)*(COSTEO_SERVICIOS!$K$5:$K$500))</f>
        <v/>
      </c>
      <c r="E9" s="5" t="inlineStr">
        <is>
          <t>Consumo Real (Volumen)</t>
        </is>
      </c>
      <c r="F9" s="5" t="inlineStr">
        <is>
          <t>Variable</t>
        </is>
      </c>
    </row>
    <row r="10">
      <c r="A10" s="5" t="inlineStr">
        <is>
          <t>7205</t>
        </is>
      </c>
      <c r="B10" s="5" t="inlineStr">
        <is>
          <t>COSTO MANO DE OBRA DIRECTA</t>
        </is>
      </c>
      <c r="C10" s="5" t="inlineStr">
        <is>
          <t>Sede Centro - Cali</t>
        </is>
      </c>
      <c r="D10" s="12">
        <f>SUMIFS(NOMINA!$G:$G,NOMINA!$H:$H,"Sede Centro - Cali")</f>
        <v/>
      </c>
      <c r="E10" s="5" t="inlineStr">
        <is>
          <t>Nómina Directa</t>
        </is>
      </c>
      <c r="F10" s="5" t="inlineStr">
        <is>
          <t>Fijo</t>
        </is>
      </c>
    </row>
    <row r="11">
      <c r="A11" s="5" t="inlineStr">
        <is>
          <t>7305</t>
        </is>
      </c>
      <c r="B11" s="5" t="inlineStr">
        <is>
          <t>Arrendamiento</t>
        </is>
      </c>
      <c r="C11" s="5" t="inlineStr">
        <is>
          <t>Sede Norte - Bogotá</t>
        </is>
      </c>
      <c r="D11" s="11" t="n">
        <v>66666666.66666666</v>
      </c>
      <c r="E11" s="5" t="inlineStr">
        <is>
          <t>Capacidad Instalada (Minutos)</t>
        </is>
      </c>
      <c r="F11" s="5" t="inlineStr">
        <is>
          <t>Fijo</t>
        </is>
      </c>
    </row>
    <row r="12">
      <c r="A12" s="5" t="inlineStr">
        <is>
          <t>7305</t>
        </is>
      </c>
      <c r="B12" s="5" t="inlineStr">
        <is>
          <t>Arrendamiento</t>
        </is>
      </c>
      <c r="C12" s="5" t="inlineStr">
        <is>
          <t>Sede Sur - Medellín</t>
        </is>
      </c>
      <c r="D12" s="11" t="n">
        <v>50000000</v>
      </c>
      <c r="E12" s="5" t="inlineStr">
        <is>
          <t>Capacidad Instalada (Minutos)</t>
        </is>
      </c>
      <c r="F12" s="5" t="inlineStr">
        <is>
          <t>Fijo</t>
        </is>
      </c>
    </row>
    <row r="13">
      <c r="A13" s="5" t="inlineStr">
        <is>
          <t>7305</t>
        </is>
      </c>
      <c r="B13" s="5" t="inlineStr">
        <is>
          <t>Arrendamiento</t>
        </is>
      </c>
      <c r="C13" s="5" t="inlineStr">
        <is>
          <t>Sede Centro - Cali</t>
        </is>
      </c>
      <c r="D13" s="11" t="n">
        <v>33333333.33333333</v>
      </c>
      <c r="E13" s="5" t="inlineStr">
        <is>
          <t>Capacidad Instalada (Minutos)</t>
        </is>
      </c>
      <c r="F13" s="5" t="inlineStr">
        <is>
          <t>Fijo</t>
        </is>
      </c>
    </row>
    <row r="14">
      <c r="A14" s="5" t="inlineStr">
        <is>
          <t>7310</t>
        </is>
      </c>
      <c r="B14" s="5" t="inlineStr">
        <is>
          <t>Depreciación Equipos</t>
        </is>
      </c>
      <c r="C14" s="5" t="inlineStr">
        <is>
          <t>Sede Norte - Bogotá</t>
        </is>
      </c>
      <c r="D14" s="11" t="n">
        <v>37777777.77777778</v>
      </c>
      <c r="E14" s="5" t="inlineStr">
        <is>
          <t>Capacidad Instalada (Minutos)</t>
        </is>
      </c>
      <c r="F14" s="5" t="inlineStr">
        <is>
          <t>Fijo</t>
        </is>
      </c>
    </row>
    <row r="15">
      <c r="A15" s="5" t="inlineStr">
        <is>
          <t>7310</t>
        </is>
      </c>
      <c r="B15" s="5" t="inlineStr">
        <is>
          <t>Depreciación Equipos</t>
        </is>
      </c>
      <c r="C15" s="5" t="inlineStr">
        <is>
          <t>Sede Sur - Medellín</t>
        </is>
      </c>
      <c r="D15" s="11" t="n">
        <v>28333333.33333333</v>
      </c>
      <c r="E15" s="5" t="inlineStr">
        <is>
          <t>Capacidad Instalada (Minutos)</t>
        </is>
      </c>
      <c r="F15" s="5" t="inlineStr">
        <is>
          <t>Fijo</t>
        </is>
      </c>
    </row>
    <row r="16">
      <c r="A16" s="5" t="inlineStr">
        <is>
          <t>7310</t>
        </is>
      </c>
      <c r="B16" s="5" t="inlineStr">
        <is>
          <t>Depreciación Equipos</t>
        </is>
      </c>
      <c r="C16" s="5" t="inlineStr">
        <is>
          <t>Sede Centro - Cali</t>
        </is>
      </c>
      <c r="D16" s="11" t="n">
        <v>18888888.88888889</v>
      </c>
      <c r="E16" s="5" t="inlineStr">
        <is>
          <t>Capacidad Instalada (Minutos)</t>
        </is>
      </c>
      <c r="F16" s="5" t="inlineStr">
        <is>
          <t>Fijo</t>
        </is>
      </c>
    </row>
    <row r="17">
      <c r="A17" s="5" t="inlineStr">
        <is>
          <t>7315</t>
        </is>
      </c>
      <c r="B17" s="5" t="inlineStr">
        <is>
          <t>Mantenimiento</t>
        </is>
      </c>
      <c r="C17" s="5" t="inlineStr">
        <is>
          <t>Sede Norte - Bogotá</t>
        </is>
      </c>
      <c r="D17" s="11" t="n">
        <v>20000000</v>
      </c>
      <c r="E17" s="5" t="inlineStr">
        <is>
          <t>Capacidad Instalada (Minutos)</t>
        </is>
      </c>
      <c r="F17" s="5" t="inlineStr">
        <is>
          <t>Fijo</t>
        </is>
      </c>
    </row>
    <row r="18">
      <c r="A18" s="5" t="inlineStr">
        <is>
          <t>7315</t>
        </is>
      </c>
      <c r="B18" s="5" t="inlineStr">
        <is>
          <t>Mantenimiento</t>
        </is>
      </c>
      <c r="C18" s="5" t="inlineStr">
        <is>
          <t>Sede Sur - Medellín</t>
        </is>
      </c>
      <c r="D18" s="11" t="n">
        <v>15000000</v>
      </c>
      <c r="E18" s="5" t="inlineStr">
        <is>
          <t>Capacidad Instalada (Minutos)</t>
        </is>
      </c>
      <c r="F18" s="5" t="inlineStr">
        <is>
          <t>Fijo</t>
        </is>
      </c>
    </row>
    <row r="19">
      <c r="A19" s="5" t="inlineStr">
        <is>
          <t>7315</t>
        </is>
      </c>
      <c r="B19" s="5" t="inlineStr">
        <is>
          <t>Mantenimiento</t>
        </is>
      </c>
      <c r="C19" s="5" t="inlineStr">
        <is>
          <t>Sede Centro - Cali</t>
        </is>
      </c>
      <c r="D19" s="11" t="n">
        <v>10000000</v>
      </c>
      <c r="E19" s="5" t="inlineStr">
        <is>
          <t>Capacidad Instalada (Minutos)</t>
        </is>
      </c>
      <c r="F19" s="5" t="inlineStr">
        <is>
          <t>Fijo</t>
        </is>
      </c>
    </row>
    <row r="20">
      <c r="A20" s="5" t="inlineStr">
        <is>
          <t>7320</t>
        </is>
      </c>
      <c r="B20" s="5" t="inlineStr">
        <is>
          <t>Servicios Públicos</t>
        </is>
      </c>
      <c r="C20" s="5" t="inlineStr">
        <is>
          <t>Sede Norte - Bogotá</t>
        </is>
      </c>
      <c r="D20" s="11" t="n">
        <v>15555555.55555555</v>
      </c>
      <c r="E20" s="5" t="inlineStr">
        <is>
          <t>Capacidad Instalada (Minutos)</t>
        </is>
      </c>
      <c r="F20" s="5" t="inlineStr">
        <is>
          <t>Fijo</t>
        </is>
      </c>
    </row>
    <row r="21">
      <c r="A21" s="5" t="inlineStr">
        <is>
          <t>7320</t>
        </is>
      </c>
      <c r="B21" s="5" t="inlineStr">
        <is>
          <t>Servicios Públicos</t>
        </is>
      </c>
      <c r="C21" s="5" t="inlineStr">
        <is>
          <t>Sede Sur - Medellín</t>
        </is>
      </c>
      <c r="D21" s="11" t="n">
        <v>11666666.66666667</v>
      </c>
      <c r="E21" s="5" t="inlineStr">
        <is>
          <t>Capacidad Instalada (Minutos)</t>
        </is>
      </c>
      <c r="F21" s="5" t="inlineStr">
        <is>
          <t>Fijo</t>
        </is>
      </c>
    </row>
    <row r="22">
      <c r="A22" s="5" t="inlineStr">
        <is>
          <t>7320</t>
        </is>
      </c>
      <c r="B22" s="5" t="inlineStr">
        <is>
          <t>Servicios Públicos</t>
        </is>
      </c>
      <c r="C22" s="5" t="inlineStr">
        <is>
          <t>Sede Centro - Cali</t>
        </is>
      </c>
      <c r="D22" s="11" t="n">
        <v>7777777.777777777</v>
      </c>
      <c r="E22" s="5" t="inlineStr">
        <is>
          <t>Capacidad Instalada (Minutos)</t>
        </is>
      </c>
      <c r="F22" s="5" t="inlineStr">
        <is>
          <t>Fijo</t>
        </is>
      </c>
    </row>
    <row r="23">
      <c r="A23" s="5" t="inlineStr">
        <is>
          <t>7325</t>
        </is>
      </c>
      <c r="B23" s="5" t="inlineStr">
        <is>
          <t>Seguros</t>
        </is>
      </c>
      <c r="C23" s="5" t="inlineStr">
        <is>
          <t>Sede Norte - Bogotá</t>
        </is>
      </c>
      <c r="D23" s="11" t="n">
        <v>12444444.44444444</v>
      </c>
      <c r="E23" s="5" t="inlineStr">
        <is>
          <t>Capacidad Instalada (Minutos)</t>
        </is>
      </c>
      <c r="F23" s="5" t="inlineStr">
        <is>
          <t>Fijo</t>
        </is>
      </c>
    </row>
    <row r="24">
      <c r="A24" s="5" t="inlineStr">
        <is>
          <t>7325</t>
        </is>
      </c>
      <c r="B24" s="5" t="inlineStr">
        <is>
          <t>Seguros</t>
        </is>
      </c>
      <c r="C24" s="5" t="inlineStr">
        <is>
          <t>Sede Sur - Medellín</t>
        </is>
      </c>
      <c r="D24" s="11" t="n">
        <v>9333333.333333332</v>
      </c>
      <c r="E24" s="5" t="inlineStr">
        <is>
          <t>Capacidad Instalada (Minutos)</t>
        </is>
      </c>
      <c r="F24" s="5" t="inlineStr">
        <is>
          <t>Fijo</t>
        </is>
      </c>
    </row>
    <row r="25">
      <c r="A25" s="5" t="inlineStr">
        <is>
          <t>7325</t>
        </is>
      </c>
      <c r="B25" s="5" t="inlineStr">
        <is>
          <t>Seguros</t>
        </is>
      </c>
      <c r="C25" s="5" t="inlineStr">
        <is>
          <t>Sede Centro - Cali</t>
        </is>
      </c>
      <c r="D25" s="11" t="n">
        <v>6222222.222222222</v>
      </c>
      <c r="E25" s="5" t="inlineStr">
        <is>
          <t>Capacidad Instalada (Minutos)</t>
        </is>
      </c>
      <c r="F25" s="5" t="inlineStr">
        <is>
          <t>Fijo</t>
        </is>
      </c>
    </row>
    <row r="26">
      <c r="A26" s="5" t="inlineStr">
        <is>
          <t>7330</t>
        </is>
      </c>
      <c r="B26" s="5" t="inlineStr">
        <is>
          <t>Aseo y Limpieza</t>
        </is>
      </c>
      <c r="C26" s="5" t="inlineStr">
        <is>
          <t>Sede Norte - Bogotá</t>
        </is>
      </c>
      <c r="D26" s="11" t="n">
        <v>8000000</v>
      </c>
      <c r="E26" s="5" t="inlineStr">
        <is>
          <t>Capacidad Instalada (Minutos)</t>
        </is>
      </c>
      <c r="F26" s="5" t="inlineStr">
        <is>
          <t>Fijo</t>
        </is>
      </c>
    </row>
    <row r="27">
      <c r="A27" s="5" t="inlineStr">
        <is>
          <t>7330</t>
        </is>
      </c>
      <c r="B27" s="5" t="inlineStr">
        <is>
          <t>Aseo y Limpieza</t>
        </is>
      </c>
      <c r="C27" s="5" t="inlineStr">
        <is>
          <t>Sede Sur - Medellín</t>
        </is>
      </c>
      <c r="D27" s="11" t="n">
        <v>6000000</v>
      </c>
      <c r="E27" s="5" t="inlineStr">
        <is>
          <t>Capacidad Instalada (Minutos)</t>
        </is>
      </c>
      <c r="F27" s="5" t="inlineStr">
        <is>
          <t>Fijo</t>
        </is>
      </c>
    </row>
    <row r="28">
      <c r="A28" s="5" t="inlineStr">
        <is>
          <t>7330</t>
        </is>
      </c>
      <c r="B28" s="5" t="inlineStr">
        <is>
          <t>Aseo y Limpieza</t>
        </is>
      </c>
      <c r="C28" s="5" t="inlineStr">
        <is>
          <t>Sede Centro - Cali</t>
        </is>
      </c>
      <c r="D28" s="11" t="n">
        <v>4000000</v>
      </c>
      <c r="E28" s="5" t="inlineStr">
        <is>
          <t>Capacidad Instalada (Minutos)</t>
        </is>
      </c>
      <c r="F28" s="5" t="inlineStr">
        <is>
          <t>Fijo</t>
        </is>
      </c>
    </row>
    <row r="29">
      <c r="A29" s="5" t="inlineStr">
        <is>
          <t>7335</t>
        </is>
      </c>
      <c r="B29" s="5" t="inlineStr">
        <is>
          <t>Vigilancia</t>
        </is>
      </c>
      <c r="C29" s="5" t="inlineStr">
        <is>
          <t>Sede Norte - Bogotá</t>
        </is>
      </c>
      <c r="D29" s="11" t="n">
        <v>9777777.777777778</v>
      </c>
      <c r="E29" s="5" t="inlineStr">
        <is>
          <t>Capacidad Instalada (Minutos)</t>
        </is>
      </c>
      <c r="F29" s="5" t="inlineStr">
        <is>
          <t>Fijo</t>
        </is>
      </c>
    </row>
    <row r="30">
      <c r="A30" s="5" t="inlineStr">
        <is>
          <t>7335</t>
        </is>
      </c>
      <c r="B30" s="5" t="inlineStr">
        <is>
          <t>Vigilancia</t>
        </is>
      </c>
      <c r="C30" s="5" t="inlineStr">
        <is>
          <t>Sede Sur - Medellín</t>
        </is>
      </c>
      <c r="D30" s="11" t="n">
        <v>7333333.333333333</v>
      </c>
      <c r="E30" s="5" t="inlineStr">
        <is>
          <t>Capacidad Instalada (Minutos)</t>
        </is>
      </c>
      <c r="F30" s="5" t="inlineStr">
        <is>
          <t>Fijo</t>
        </is>
      </c>
    </row>
    <row r="31">
      <c r="A31" s="5" t="inlineStr">
        <is>
          <t>7335</t>
        </is>
      </c>
      <c r="B31" s="5" t="inlineStr">
        <is>
          <t>Vigilancia</t>
        </is>
      </c>
      <c r="C31" s="5" t="inlineStr">
        <is>
          <t>Sede Centro - Cali</t>
        </is>
      </c>
      <c r="D31" s="11" t="n">
        <v>4888888.888888889</v>
      </c>
      <c r="E31" s="5" t="inlineStr">
        <is>
          <t>Capacidad Instalada (Minutos)</t>
        </is>
      </c>
      <c r="F31" s="5" t="inlineStr">
        <is>
          <t>Fijo</t>
        </is>
      </c>
    </row>
    <row r="32">
      <c r="A32" s="5" t="inlineStr">
        <is>
          <t>7340</t>
        </is>
      </c>
      <c r="B32" s="5" t="inlineStr">
        <is>
          <t>Papelería</t>
        </is>
      </c>
      <c r="C32" s="5" t="inlineStr">
        <is>
          <t>Sede Norte - Bogotá</t>
        </is>
      </c>
      <c r="D32" s="11" t="n">
        <v>2222222.222222222</v>
      </c>
      <c r="E32" s="5" t="inlineStr">
        <is>
          <t>Capacidad Instalada (Minutos)</t>
        </is>
      </c>
      <c r="F32" s="5" t="inlineStr">
        <is>
          <t>Fijo</t>
        </is>
      </c>
    </row>
    <row r="33">
      <c r="A33" s="5" t="inlineStr">
        <is>
          <t>7340</t>
        </is>
      </c>
      <c r="B33" s="5" t="inlineStr">
        <is>
          <t>Papelería</t>
        </is>
      </c>
      <c r="C33" s="5" t="inlineStr">
        <is>
          <t>Sede Sur - Medellín</t>
        </is>
      </c>
      <c r="D33" s="11" t="n">
        <v>1666666.666666667</v>
      </c>
      <c r="E33" s="5" t="inlineStr">
        <is>
          <t>Capacidad Instalada (Minutos)</t>
        </is>
      </c>
      <c r="F33" s="5" t="inlineStr">
        <is>
          <t>Fijo</t>
        </is>
      </c>
    </row>
    <row r="34">
      <c r="A34" s="5" t="inlineStr">
        <is>
          <t>7340</t>
        </is>
      </c>
      <c r="B34" s="5" t="inlineStr">
        <is>
          <t>Papelería</t>
        </is>
      </c>
      <c r="C34" s="5" t="inlineStr">
        <is>
          <t>Sede Centro - Cali</t>
        </is>
      </c>
      <c r="D34" s="11" t="n">
        <v>1111111.111111111</v>
      </c>
      <c r="E34" s="5" t="inlineStr">
        <is>
          <t>Capacidad Instalada (Minutos)</t>
        </is>
      </c>
      <c r="F34" s="5" t="inlineStr">
        <is>
          <t>Fijo</t>
        </is>
      </c>
    </row>
    <row r="35">
      <c r="A35" s="5" t="inlineStr">
        <is>
          <t>7390</t>
        </is>
      </c>
      <c r="B35" s="5" t="inlineStr">
        <is>
          <t>Otros</t>
        </is>
      </c>
      <c r="C35" s="5" t="inlineStr">
        <is>
          <t>Sede Norte - Bogotá</t>
        </is>
      </c>
      <c r="D35" s="11" t="n">
        <v>6666666.666666666</v>
      </c>
      <c r="E35" s="5" t="inlineStr">
        <is>
          <t>Capacidad Instalada (Minutos)</t>
        </is>
      </c>
      <c r="F35" s="5" t="inlineStr">
        <is>
          <t>Fijo</t>
        </is>
      </c>
    </row>
    <row r="36">
      <c r="A36" s="5" t="inlineStr">
        <is>
          <t>7390</t>
        </is>
      </c>
      <c r="B36" s="5" t="inlineStr">
        <is>
          <t>Otros</t>
        </is>
      </c>
      <c r="C36" s="5" t="inlineStr">
        <is>
          <t>Sede Sur - Medellín</t>
        </is>
      </c>
      <c r="D36" s="11" t="n">
        <v>5000000</v>
      </c>
      <c r="E36" s="5" t="inlineStr">
        <is>
          <t>Capacidad Instalada (Minutos)</t>
        </is>
      </c>
      <c r="F36" s="5" t="inlineStr">
        <is>
          <t>Fijo</t>
        </is>
      </c>
    </row>
    <row r="37">
      <c r="A37" s="5" t="inlineStr">
        <is>
          <t>7390</t>
        </is>
      </c>
      <c r="B37" s="5" t="inlineStr">
        <is>
          <t>Otros</t>
        </is>
      </c>
      <c r="C37" s="5" t="inlineStr">
        <is>
          <t>Sede Centro - Cali</t>
        </is>
      </c>
      <c r="D37" s="11" t="n">
        <v>3333333.333333333</v>
      </c>
      <c r="E37" s="5" t="inlineStr">
        <is>
          <t>Capacidad Instalada (Minutos)</t>
        </is>
      </c>
      <c r="F37" s="5" t="inlineStr">
        <is>
          <t>Fijo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27" t="inlineStr">
        <is>
          <t>CardioCentro Diagnóstico Integral S.A.S.</t>
        </is>
      </c>
    </row>
    <row r="2">
      <c r="A2" s="24" t="inlineStr">
        <is>
          <t>RESUMEN EJECUTIVO - ANÁLISIS DE RENTABILIDAD (Enero)</t>
        </is>
      </c>
    </row>
    <row r="3">
      <c r="A3" s="28" t="inlineStr">
        <is>
          <t>Período: February 2026</t>
        </is>
      </c>
    </row>
    <row r="5">
      <c r="A5" s="3" t="inlineStr">
        <is>
          <t>INDICADORES GLOBALES DE RESULTADOS</t>
        </is>
      </c>
    </row>
    <row r="6">
      <c r="A6" s="4" t="inlineStr">
        <is>
          <t>Indicador</t>
        </is>
      </c>
      <c r="B6" s="4" t="inlineStr">
        <is>
          <t>Valor</t>
        </is>
      </c>
      <c r="C6" t="inlineStr"/>
    </row>
    <row r="7">
      <c r="A7" s="5" t="inlineStr">
        <is>
          <t>Ingresos Operacionales (Facturación)</t>
        </is>
      </c>
      <c r="B7" s="19">
        <f>SUM(TablaProduccion[Total Facturado])</f>
        <v/>
      </c>
    </row>
    <row r="8">
      <c r="A8" s="5" t="inlineStr">
        <is>
          <t>Total Costos Asignados (TDABC)</t>
        </is>
      </c>
      <c r="B8" s="19">
        <f>SUM(TablaCosteo[Costo Unitario Total]*TablaCosteo[Volumen Mes])</f>
        <v/>
      </c>
    </row>
    <row r="9">
      <c r="A9" s="29" t="inlineStr">
        <is>
          <t xml:space="preserve">   - Costo Personal Directo</t>
        </is>
      </c>
      <c r="B9" s="19">
        <f>SUM(TablaCosteo[Costo MO Directa]*TablaCosteo[Volumen Mes])</f>
        <v/>
      </c>
    </row>
    <row r="10">
      <c r="A10" s="29" t="inlineStr">
        <is>
          <t xml:space="preserve">   - Costo Insumos</t>
        </is>
      </c>
      <c r="B10" s="19">
        <f>SUM(TablaCosteo[Costo Insumos]*TablaCosteo[Volumen Mes])</f>
        <v/>
      </c>
    </row>
    <row r="11">
      <c r="A11" s="29" t="inlineStr">
        <is>
          <t xml:space="preserve">   - Costos Indirectos (CIF)</t>
        </is>
      </c>
      <c r="B11" s="19">
        <f>SUM(TablaCosteo[Costo CIF (Indirecto)]*TablaCosteo[Volumen Mes])</f>
        <v/>
      </c>
    </row>
    <row r="12">
      <c r="A12" s="5" t="inlineStr">
        <is>
          <t>Utilidad Operacional (Estimada)</t>
        </is>
      </c>
      <c r="B12" s="19">
        <f>B7-B8</f>
        <v/>
      </c>
    </row>
    <row r="13">
      <c r="A13" s="5" t="inlineStr">
        <is>
          <t>Margen Operacional %</t>
        </is>
      </c>
      <c r="B13" s="26">
        <f>IF(B7&gt;0,B12/B7,0)</f>
        <v/>
      </c>
    </row>
    <row r="14">
      <c r="A14" s="5" t="inlineStr">
        <is>
          <t>Total Servicios Prestados</t>
        </is>
      </c>
      <c r="B14" s="20">
        <f>SUM(TablaProduccion[Cantidad])</f>
        <v/>
      </c>
    </row>
    <row r="15">
      <c r="A15" s="30" t="inlineStr">
        <is>
          <t>MARGEN OPERATIVO</t>
        </is>
      </c>
      <c r="B15" s="12">
        <f>B7-B8</f>
        <v/>
      </c>
    </row>
    <row r="16">
      <c r="A16" s="30" t="inlineStr">
        <is>
          <t>MARGEN OPERATIVO %</t>
        </is>
      </c>
      <c r="B16" s="31">
        <f>IF(B7&gt;0,B13/B7,0)</f>
        <v/>
      </c>
    </row>
    <row r="19">
      <c r="A19" s="3" t="inlineStr">
        <is>
          <t>CONCILIACIÓN DE COSTOS (CONTABLE VS DISTRIBUIDO)</t>
        </is>
      </c>
    </row>
    <row r="20">
      <c r="A20" s="32" t="inlineStr">
        <is>
          <t>Concepto (Fuente: COSTOS_INDIRECTOS)</t>
        </is>
      </c>
      <c r="B20" s="32" t="inlineStr">
        <is>
          <t>Costo Contable (Gastado)</t>
        </is>
      </c>
      <c r="C20" s="32" t="inlineStr">
        <is>
          <t>Costo Asignado (TDABC)</t>
        </is>
      </c>
    </row>
    <row r="21">
      <c r="A21" t="inlineStr">
        <is>
          <t>Materia Prima / Insumos (71)</t>
        </is>
      </c>
      <c r="B21" s="19">
        <f>SUMIFS(TablaIndirectos[Valor Mensual],TablaIndirectos[Código Cuenta],"71*")</f>
        <v/>
      </c>
      <c r="C21" s="19">
        <f>SUMPRODUCT(TablaCosteo[Costo Insumos],TablaCosteo[Volumen Mes])</f>
        <v/>
      </c>
    </row>
    <row r="22">
      <c r="A22" t="inlineStr">
        <is>
          <t>Mano de Obra Directa (72)</t>
        </is>
      </c>
      <c r="B22" s="19">
        <f>SUMIFS(TablaIndirectos[Valor Mensual],TablaIndirectos[Código Cuenta],"72*")</f>
        <v/>
      </c>
      <c r="C22" s="19">
        <f>SUMPRODUCT(TablaCosteo[Costo MO Directa],TablaCosteo[Volumen Mes])</f>
        <v/>
      </c>
    </row>
    <row r="23">
      <c r="A23" t="inlineStr">
        <is>
          <t>Costos Indirectos CIF (73)</t>
        </is>
      </c>
      <c r="B23" s="19">
        <f>SUMIFS(TablaIndirectos[Valor Mensual],TablaIndirectos[Código Cuenta],"73*")</f>
        <v/>
      </c>
      <c r="C23" s="19">
        <f>SUMPRODUCT(TablaCosteo[Costo CIF (Indirecto)],TablaCosteo[Volumen Mes])</f>
        <v/>
      </c>
    </row>
    <row r="24">
      <c r="A24" s="33" t="inlineStr">
        <is>
          <t>DIFERENCIA (CAPACIDAD OCIOSA)</t>
        </is>
      </c>
      <c r="B24" s="34">
        <f>SUM(B21:B23)-SUM(C21:C23)</f>
        <v/>
      </c>
    </row>
    <row r="25" ht="45" customHeight="1">
      <c r="A25" s="35" t="inlineStr">
        <is>
          <t>NOTA IMPORTANTE: La Diferencia en '73' corresponde a la CAPACIDAD OCIOSA DE INFRAESTRUCTURA.
   &gt; Valores Positivos (+) indican que se está pagando por una sede que NO se usa completamente (Pérdida por Vacío).
   &gt; Valores Negativos (-) indican Sobre-ejecución (se trabajó más de la capacidad teórica/turnos extra).</t>
        </is>
      </c>
    </row>
    <row r="28">
      <c r="A28" s="3" t="inlineStr">
        <is>
          <t>RENTABILIDAD POR SERVICIO (TODOS)</t>
        </is>
      </c>
    </row>
    <row r="29">
      <c r="A29" s="4" t="inlineStr">
        <is>
          <t>Servicio</t>
        </is>
      </c>
      <c r="B29" s="4" t="inlineStr">
        <is>
          <t>Costo Total</t>
        </is>
      </c>
      <c r="C29" s="4" t="inlineStr">
        <is>
          <t>Facturación Total</t>
        </is>
      </c>
      <c r="D29" s="4" t="inlineStr">
        <is>
          <t>Margen Total</t>
        </is>
      </c>
      <c r="E29" s="4" t="inlineStr">
        <is>
          <t>Margen %</t>
        </is>
      </c>
    </row>
    <row r="30">
      <c r="A30" s="5" t="inlineStr">
        <is>
          <t>Ecocardiograma Transtorácico</t>
        </is>
      </c>
      <c r="B30" s="12">
        <f>SUMPRODUCT((TablaCosteo[Servicio]=A30)*(TablaCosteo[Costo Unitario Total])*(TablaCosteo[Volumen Mes]))</f>
        <v/>
      </c>
      <c r="C30" s="12">
        <f>SUMIFS(TablaProduccion[Total Facturado],TablaProduccion[Servicio],A30)</f>
        <v/>
      </c>
      <c r="D30" s="12">
        <f>C30-B30</f>
        <v/>
      </c>
      <c r="E30" s="31">
        <f>IF(C30&gt;0,D30/C30,0)</f>
        <v/>
      </c>
    </row>
    <row r="31">
      <c r="A31" s="5" t="inlineStr">
        <is>
          <t>Ecocardiograma Transesofágico</t>
        </is>
      </c>
      <c r="B31" s="12">
        <f>SUMPRODUCT((TablaCosteo[Servicio]=A31)*(TablaCosteo[Costo Unitario Total])*(TablaCosteo[Volumen Mes]))</f>
        <v/>
      </c>
      <c r="C31" s="12">
        <f>SUMIFS(TablaProduccion[Total Facturado],TablaProduccion[Servicio],A31)</f>
        <v/>
      </c>
      <c r="D31" s="12">
        <f>C31-B31</f>
        <v/>
      </c>
      <c r="E31" s="31">
        <f>IF(C31&gt;0,D31/C31,0)</f>
        <v/>
      </c>
    </row>
    <row r="32">
      <c r="A32" s="5" t="inlineStr">
        <is>
          <t>Holter 24 Horas</t>
        </is>
      </c>
      <c r="B32" s="12">
        <f>SUMPRODUCT((TablaCosteo[Servicio]=A32)*(TablaCosteo[Costo Unitario Total])*(TablaCosteo[Volumen Mes]))</f>
        <v/>
      </c>
      <c r="C32" s="12">
        <f>SUMIFS(TablaProduccion[Total Facturado],TablaProduccion[Servicio],A32)</f>
        <v/>
      </c>
      <c r="D32" s="12">
        <f>C32-B32</f>
        <v/>
      </c>
      <c r="E32" s="31">
        <f>IF(C32&gt;0,D32/C32,0)</f>
        <v/>
      </c>
    </row>
    <row r="33">
      <c r="A33" s="5" t="inlineStr">
        <is>
          <t>Holter 48 Horas</t>
        </is>
      </c>
      <c r="B33" s="12">
        <f>SUMPRODUCT((TablaCosteo[Servicio]=A33)*(TablaCosteo[Costo Unitario Total])*(TablaCosteo[Volumen Mes]))</f>
        <v/>
      </c>
      <c r="C33" s="12">
        <f>SUMIFS(TablaProduccion[Total Facturado],TablaProduccion[Servicio],A33)</f>
        <v/>
      </c>
      <c r="D33" s="12">
        <f>C33-B33</f>
        <v/>
      </c>
      <c r="E33" s="31">
        <f>IF(C33&gt;0,D33/C33,0)</f>
        <v/>
      </c>
    </row>
    <row r="34">
      <c r="A34" s="5" t="inlineStr">
        <is>
          <t>Prueba de Esfuerzo</t>
        </is>
      </c>
      <c r="B34" s="12">
        <f>SUMPRODUCT((TablaCosteo[Servicio]=A34)*(TablaCosteo[Costo Unitario Total])*(TablaCosteo[Volumen Mes]))</f>
        <v/>
      </c>
      <c r="C34" s="12">
        <f>SUMIFS(TablaProduccion[Total Facturado],TablaProduccion[Servicio],A34)</f>
        <v/>
      </c>
      <c r="D34" s="12">
        <f>C34-B34</f>
        <v/>
      </c>
      <c r="E34" s="31">
        <f>IF(C34&gt;0,D34/C34,0)</f>
        <v/>
      </c>
    </row>
    <row r="35">
      <c r="A35" s="5" t="inlineStr">
        <is>
          <t>Electrocardiograma</t>
        </is>
      </c>
      <c r="B35" s="12">
        <f>SUMPRODUCT((TablaCosteo[Servicio]=A35)*(TablaCosteo[Costo Unitario Total])*(TablaCosteo[Volumen Mes]))</f>
        <v/>
      </c>
      <c r="C35" s="12">
        <f>SUMIFS(TablaProduccion[Total Facturado],TablaProduccion[Servicio],A35)</f>
        <v/>
      </c>
      <c r="D35" s="12">
        <f>C35-B35</f>
        <v/>
      </c>
      <c r="E35" s="31">
        <f>IF(C35&gt;0,D35/C35,0)</f>
        <v/>
      </c>
    </row>
    <row r="36">
      <c r="A36" s="5" t="inlineStr">
        <is>
          <t>MAPA 24 Horas</t>
        </is>
      </c>
      <c r="B36" s="12">
        <f>SUMPRODUCT((TablaCosteo[Servicio]=A36)*(TablaCosteo[Costo Unitario Total])*(TablaCosteo[Volumen Mes]))</f>
        <v/>
      </c>
      <c r="C36" s="12">
        <f>SUMIFS(TablaProduccion[Total Facturado],TablaProduccion[Servicio],A36)</f>
        <v/>
      </c>
      <c r="D36" s="12">
        <f>C36-B36</f>
        <v/>
      </c>
      <c r="E36" s="31">
        <f>IF(C36&gt;0,D36/C36,0)</f>
        <v/>
      </c>
    </row>
    <row r="37">
      <c r="A37" s="5" t="inlineStr">
        <is>
          <t>Ecocardiograma Doppler</t>
        </is>
      </c>
      <c r="B37" s="12">
        <f>SUMPRODUCT((TablaCosteo[Servicio]=A37)*(TablaCosteo[Costo Unitario Total])*(TablaCosteo[Volumen Mes]))</f>
        <v/>
      </c>
      <c r="C37" s="12">
        <f>SUMIFS(TablaProduccion[Total Facturado],TablaProduccion[Servicio],A37)</f>
        <v/>
      </c>
      <c r="D37" s="12">
        <f>C37-B37</f>
        <v/>
      </c>
      <c r="E37" s="31">
        <f>IF(C37&gt;0,D37/C37,0)</f>
        <v/>
      </c>
    </row>
    <row r="38">
      <c r="A38" s="5" t="inlineStr">
        <is>
          <t>Ecocardiograma de Estrés</t>
        </is>
      </c>
      <c r="B38" s="12">
        <f>SUMPRODUCT((TablaCosteo[Servicio]=A38)*(TablaCosteo[Costo Unitario Total])*(TablaCosteo[Volumen Mes]))</f>
        <v/>
      </c>
      <c r="C38" s="12">
        <f>SUMIFS(TablaProduccion[Total Facturado],TablaProduccion[Servicio],A38)</f>
        <v/>
      </c>
      <c r="D38" s="12">
        <f>C38-B38</f>
        <v/>
      </c>
      <c r="E38" s="31">
        <f>IF(C38&gt;0,D38/C38,0)</f>
        <v/>
      </c>
    </row>
    <row r="39">
      <c r="A39" s="5" t="inlineStr">
        <is>
          <t>Tilt Test</t>
        </is>
      </c>
      <c r="B39" s="12">
        <f>SUMPRODUCT((TablaCosteo[Servicio]=A39)*(TablaCosteo[Costo Unitario Total])*(TablaCosteo[Volumen Mes]))</f>
        <v/>
      </c>
      <c r="C39" s="12">
        <f>SUMIFS(TablaProduccion[Total Facturado],TablaProduccion[Servicio],A39)</f>
        <v/>
      </c>
      <c r="D39" s="12">
        <f>C39-B39</f>
        <v/>
      </c>
      <c r="E39" s="31">
        <f>IF(C39&gt;0,D39/C39,0)</f>
        <v/>
      </c>
    </row>
    <row r="40">
      <c r="A40" s="5" t="inlineStr">
        <is>
          <t>Estudio Electrofisiológico</t>
        </is>
      </c>
      <c r="B40" s="12">
        <f>SUMPRODUCT((TablaCosteo[Servicio]=A40)*(TablaCosteo[Costo Unitario Total])*(TablaCosteo[Volumen Mes]))</f>
        <v/>
      </c>
      <c r="C40" s="12">
        <f>SUMIFS(TablaProduccion[Total Facturado],TablaProduccion[Servicio],A40)</f>
        <v/>
      </c>
      <c r="D40" s="12">
        <f>C40-B40</f>
        <v/>
      </c>
      <c r="E40" s="31">
        <f>IF(C40&gt;0,D40/C40,0)</f>
        <v/>
      </c>
    </row>
    <row r="41">
      <c r="A41" s="5" t="inlineStr">
        <is>
          <t>Cardioversión Eléctrica</t>
        </is>
      </c>
      <c r="B41" s="12">
        <f>SUMPRODUCT((TablaCosteo[Servicio]=A41)*(TablaCosteo[Costo Unitario Total])*(TablaCosteo[Volumen Mes]))</f>
        <v/>
      </c>
      <c r="C41" s="12">
        <f>SUMIFS(TablaProduccion[Total Facturado],TablaProduccion[Servicio],A41)</f>
        <v/>
      </c>
      <c r="D41" s="12">
        <f>C41-B41</f>
        <v/>
      </c>
      <c r="E41" s="31">
        <f>IF(C41&gt;0,D41/C41,0)</f>
        <v/>
      </c>
    </row>
    <row r="42">
      <c r="A42" s="5" t="inlineStr">
        <is>
          <t>Implante Marcapasos</t>
        </is>
      </c>
      <c r="B42" s="12">
        <f>SUMPRODUCT((TablaCosteo[Servicio]=A42)*(TablaCosteo[Costo Unitario Total])*(TablaCosteo[Volumen Mes]))</f>
        <v/>
      </c>
      <c r="C42" s="12">
        <f>SUMIFS(TablaProduccion[Total Facturado],TablaProduccion[Servicio],A42)</f>
        <v/>
      </c>
      <c r="D42" s="12">
        <f>C42-B42</f>
        <v/>
      </c>
      <c r="E42" s="31">
        <f>IF(C42&gt;0,D42/C42,0)</f>
        <v/>
      </c>
    </row>
    <row r="43">
      <c r="A43" s="5" t="inlineStr">
        <is>
          <t>Cateterismo Cardíaco Derecho</t>
        </is>
      </c>
      <c r="B43" s="12">
        <f>SUMPRODUCT((TablaCosteo[Servicio]=A43)*(TablaCosteo[Costo Unitario Total])*(TablaCosteo[Volumen Mes]))</f>
        <v/>
      </c>
      <c r="C43" s="12">
        <f>SUMIFS(TablaProduccion[Total Facturado],TablaProduccion[Servicio],A43)</f>
        <v/>
      </c>
      <c r="D43" s="12">
        <f>C43-B43</f>
        <v/>
      </c>
      <c r="E43" s="31">
        <f>IF(C43&gt;0,D43/C43,0)</f>
        <v/>
      </c>
    </row>
    <row r="44">
      <c r="A44" s="5" t="inlineStr">
        <is>
          <t>Cateterismo Cardíaco Izquierdo</t>
        </is>
      </c>
      <c r="B44" s="12">
        <f>SUMPRODUCT((TablaCosteo[Servicio]=A44)*(TablaCosteo[Costo Unitario Total])*(TablaCosteo[Volumen Mes]))</f>
        <v/>
      </c>
      <c r="C44" s="12">
        <f>SUMIFS(TablaProduccion[Total Facturado],TablaProduccion[Servicio],A44)</f>
        <v/>
      </c>
      <c r="D44" s="12">
        <f>C44-B44</f>
        <v/>
      </c>
      <c r="E44" s="31">
        <f>IF(C44&gt;0,D44/C44,0)</f>
        <v/>
      </c>
    </row>
    <row r="45">
      <c r="A45" s="5" t="inlineStr">
        <is>
          <t>Angioplastia Coronaria</t>
        </is>
      </c>
      <c r="B45" s="12">
        <f>SUMPRODUCT((TablaCosteo[Servicio]=A45)*(TablaCosteo[Costo Unitario Total])*(TablaCosteo[Volumen Mes]))</f>
        <v/>
      </c>
      <c r="C45" s="12">
        <f>SUMIFS(TablaProduccion[Total Facturado],TablaProduccion[Servicio],A45)</f>
        <v/>
      </c>
      <c r="D45" s="12">
        <f>C45-B45</f>
        <v/>
      </c>
      <c r="E45" s="31">
        <f>IF(C45&gt;0,D45/C45,0)</f>
        <v/>
      </c>
    </row>
    <row r="46">
      <c r="A46" s="5" t="inlineStr">
        <is>
          <t>Ablación por Radiofrecuencia</t>
        </is>
      </c>
      <c r="B46" s="12">
        <f>SUMPRODUCT((TablaCosteo[Servicio]=A46)*(TablaCosteo[Costo Unitario Total])*(TablaCosteo[Volumen Mes]))</f>
        <v/>
      </c>
      <c r="C46" s="12">
        <f>SUMIFS(TablaProduccion[Total Facturado],TablaProduccion[Servicio],A46)</f>
        <v/>
      </c>
      <c r="D46" s="12">
        <f>C46-B46</f>
        <v/>
      </c>
      <c r="E46" s="31">
        <f>IF(C46&gt;0,D46/C46,0)</f>
        <v/>
      </c>
    </row>
    <row r="47">
      <c r="A47" s="5" t="inlineStr">
        <is>
          <t>Cierre de CIA</t>
        </is>
      </c>
      <c r="B47" s="12">
        <f>SUMPRODUCT((TablaCosteo[Servicio]=A47)*(TablaCosteo[Costo Unitario Total])*(TablaCosteo[Volumen Mes]))</f>
        <v/>
      </c>
      <c r="C47" s="12">
        <f>SUMIFS(TablaProduccion[Total Facturado],TablaProduccion[Servicio],A47)</f>
        <v/>
      </c>
      <c r="D47" s="12">
        <f>C47-B47</f>
        <v/>
      </c>
      <c r="E47" s="31">
        <f>IF(C47&gt;0,D47/C47,0)</f>
        <v/>
      </c>
    </row>
    <row r="48">
      <c r="A48" s="5" t="inlineStr">
        <is>
          <t>Estudio Hemodinámico Completo</t>
        </is>
      </c>
      <c r="B48" s="12">
        <f>SUMPRODUCT((TablaCosteo[Servicio]=A48)*(TablaCosteo[Costo Unitario Total])*(TablaCosteo[Volumen Mes]))</f>
        <v/>
      </c>
      <c r="C48" s="12">
        <f>SUMIFS(TablaProduccion[Total Facturado],TablaProduccion[Servicio],A48)</f>
        <v/>
      </c>
      <c r="D48" s="12">
        <f>C48-B48</f>
        <v/>
      </c>
      <c r="E48" s="31">
        <f>IF(C48&gt;0,D48/C48,0)</f>
        <v/>
      </c>
    </row>
    <row r="49">
      <c r="A49" s="5" t="inlineStr">
        <is>
          <t>Biopsia Endomiocárdica</t>
        </is>
      </c>
      <c r="B49" s="12">
        <f>SUMPRODUCT((TablaCosteo[Servicio]=A49)*(TablaCosteo[Costo Unitario Total])*(TablaCosteo[Volumen Mes]))</f>
        <v/>
      </c>
      <c r="C49" s="12">
        <f>SUMIFS(TablaProduccion[Total Facturado],TablaProduccion[Servicio],A49)</f>
        <v/>
      </c>
      <c r="D49" s="12">
        <f>C49-B49</f>
        <v/>
      </c>
      <c r="E49" s="31">
        <f>IF(C49&gt;0,D49/C49,0)</f>
        <v/>
      </c>
    </row>
    <row r="52">
      <c r="A52" s="3" t="inlineStr">
        <is>
          <t>ANÁLISIS POR SEDE</t>
        </is>
      </c>
    </row>
    <row r="53">
      <c r="A53" s="4" t="inlineStr">
        <is>
          <t>Sede</t>
        </is>
      </c>
      <c r="B53" s="4" t="inlineStr">
        <is>
          <t>Facturación</t>
        </is>
      </c>
      <c r="C53" s="4" t="inlineStr">
        <is>
          <t>Costos</t>
        </is>
      </c>
      <c r="D53" s="4" t="inlineStr">
        <is>
          <t>Margen</t>
        </is>
      </c>
      <c r="E53" s="4" t="inlineStr">
        <is>
          <t>Margen %</t>
        </is>
      </c>
    </row>
    <row r="54">
      <c r="A54" s="5" t="inlineStr">
        <is>
          <t>Sede Norte - Bogotá</t>
        </is>
      </c>
      <c r="B54" s="12">
        <f>SUMIFS(TablaProduccion[Total Facturado],TablaProduccion[Sede],A54)</f>
        <v/>
      </c>
      <c r="C54" s="12">
        <f>SUMPRODUCT((TablaCosteo[Sede]=A54)*(TablaCosteo[Costo Unitario Total])*(TablaCosteo[Volumen Mes]))</f>
        <v/>
      </c>
      <c r="D54" s="12">
        <f>B54-C54</f>
        <v/>
      </c>
      <c r="E54" s="31">
        <f>IF(B54&gt;0,D54/B54,0)</f>
        <v/>
      </c>
    </row>
    <row r="55">
      <c r="A55" s="5" t="inlineStr">
        <is>
          <t>Sede Sur - Medellín</t>
        </is>
      </c>
      <c r="B55" s="12">
        <f>SUMIFS(TablaProduccion[Total Facturado],TablaProduccion[Sede],A55)</f>
        <v/>
      </c>
      <c r="C55" s="12">
        <f>SUMPRODUCT((TablaCosteo[Sede]=A55)*(TablaCosteo[Costo Unitario Total])*(TablaCosteo[Volumen Mes]))</f>
        <v/>
      </c>
      <c r="D55" s="12">
        <f>B55-C55</f>
        <v/>
      </c>
      <c r="E55" s="31">
        <f>IF(B55&gt;0,D55/B55,0)</f>
        <v/>
      </c>
    </row>
    <row r="56">
      <c r="A56" s="5" t="inlineStr">
        <is>
          <t>Sede Centro - Cali</t>
        </is>
      </c>
      <c r="B56" s="12">
        <f>SUMIFS(TablaProduccion[Total Facturado],TablaProduccion[Sede],A56)</f>
        <v/>
      </c>
      <c r="C56" s="12">
        <f>SUMPRODUCT((TablaCosteo[Sede]=A56)*(TablaCosteo[Costo Unitario Total])*(TablaCosteo[Volumen Mes]))</f>
        <v/>
      </c>
      <c r="D56" s="12">
        <f>B56-C56</f>
        <v/>
      </c>
      <c r="E56" s="31">
        <f>IF(B56&gt;0,D56/B56,0)</f>
        <v/>
      </c>
    </row>
    <row r="59">
      <c r="A59" s="36" t="inlineStr">
        <is>
          <t>1. El modelo utiliza referencias directas para cálculo de materiales, asegurando integridad referencial.
2. La Tabla 'COSTOS_INDIRECTOS' centraliza toda la contabilidad (Insumos 71 + MO 72 + Indirectos 73).
3. La Capacidad Ociosa refleja la diferencia entre los recursos pagados y los consumidos.</t>
        </is>
      </c>
    </row>
    <row r="60"/>
    <row r="61"/>
    <row r="62"/>
  </sheetData>
  <mergeCells count="10">
    <mergeCell ref="A2:F2"/>
    <mergeCell ref="A25:C25"/>
    <mergeCell ref="B24:C24"/>
    <mergeCell ref="A19:C19"/>
    <mergeCell ref="A59:F62"/>
    <mergeCell ref="A52:E52"/>
    <mergeCell ref="A1:F1"/>
    <mergeCell ref="A28:E28"/>
    <mergeCell ref="A5:B5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2026-02-17T05:01:22Z</dcterms:created>
  <dcterms:modified xsi:type="dcterms:W3CDTF">2026-02-17T05:01:22Z</dcterms:modified>
</cp:coreProperties>
</file>